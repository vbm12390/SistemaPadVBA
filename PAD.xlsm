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nicius\Desktop\PENDRIVE\sistemaPAD\"/>
    </mc:Choice>
  </mc:AlternateContent>
  <xr:revisionPtr revIDLastSave="0" documentId="13_ncr:1_{11DC176C-E1F5-4710-AAA6-6BCE3849F8B7}" xr6:coauthVersionLast="47" xr6:coauthVersionMax="47" xr10:uidLastSave="{00000000-0000-0000-0000-000000000000}"/>
  <bookViews>
    <workbookView xWindow="-108" yWindow="-108" windowWidth="23256" windowHeight="12720" tabRatio="893" firstSheet="2" activeTab="8" xr2:uid="{00000000-000D-0000-FFFF-FFFF00000000}"/>
  </bookViews>
  <sheets>
    <sheet name="Exibir_Formulario" sheetId="6" r:id="rId1"/>
    <sheet name="Gráf1" sheetId="21" r:id="rId2"/>
    <sheet name="usuarios" sheetId="8" r:id="rId3"/>
    <sheet name="Controle_de_Produtos" sheetId="1" r:id="rId4"/>
    <sheet name="Compras" sheetId="10" r:id="rId5"/>
    <sheet name="Vendas" sheetId="2" r:id="rId6"/>
    <sheet name="caixa_vendas" sheetId="13" r:id="rId7"/>
    <sheet name="Gráfico1" sheetId="19" r:id="rId8"/>
    <sheet name="Estoque" sheetId="4" r:id="rId9"/>
    <sheet name="caixa_estoque" sheetId="12" r:id="rId10"/>
    <sheet name="relatorio" sheetId="14" r:id="rId11"/>
    <sheet name="relatorio_impressao" sheetId="20" r:id="rId12"/>
    <sheet name="loja" sheetId="11" r:id="rId13"/>
  </sheets>
  <functionGroups builtInGroupCount="19"/>
  <definedNames>
    <definedName name="_xlnm._FilterDatabase" localSheetId="6" hidden="1">caixa_vendas!$A$1:$H$59</definedName>
    <definedName name="_xlnm._FilterDatabase" localSheetId="8" hidden="1">Estoque!$A$1:$C$326</definedName>
    <definedName name="_xlnm._FilterDatabase" localSheetId="10" hidden="1">relatorio!$A$3:$H$7</definedName>
    <definedName name="_xlnm._FilterDatabase" localSheetId="5" hidden="1">Vendas!$A$1:$G$903</definedName>
    <definedName name="_xlnm.Extract" localSheetId="10">relatorio!$A$4:$H$4</definedName>
    <definedName name="_xlnm.Criteria" localSheetId="10">relatorio!$A$1:$I$2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0" l="1"/>
  <c r="C9" i="20"/>
  <c r="E8" i="20"/>
  <c r="F8" i="20" s="1"/>
  <c r="E7" i="20"/>
  <c r="F7" i="20" s="1"/>
  <c r="E6" i="20"/>
  <c r="F6" i="20" s="1"/>
  <c r="E5" i="20"/>
  <c r="F5" i="20" s="1"/>
  <c r="E4" i="20"/>
  <c r="F4" i="20" s="1"/>
  <c r="E3" i="20"/>
  <c r="F3" i="20" s="1"/>
  <c r="E2" i="20"/>
  <c r="F2" i="20" s="1"/>
  <c r="F9" i="20" l="1"/>
  <c r="E9" i="20"/>
  <c r="E225" i="1"/>
  <c r="E224" i="1"/>
  <c r="E223" i="1"/>
  <c r="E38" i="1"/>
  <c r="E40" i="1"/>
  <c r="E41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8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50" i="1"/>
  <c r="E152" i="1"/>
  <c r="E153" i="1"/>
  <c r="E154" i="1"/>
  <c r="E155" i="1"/>
  <c r="E156" i="1"/>
  <c r="E157" i="1"/>
  <c r="E158" i="1"/>
  <c r="E159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99" i="1"/>
  <c r="E202" i="1"/>
  <c r="E203" i="1"/>
  <c r="E204" i="1"/>
  <c r="E207" i="1"/>
  <c r="E208" i="1"/>
  <c r="E213" i="1"/>
  <c r="E214" i="1"/>
  <c r="E215" i="1"/>
  <c r="E216" i="1"/>
  <c r="E217" i="1"/>
  <c r="E218" i="1"/>
  <c r="E219" i="1"/>
  <c r="E220" i="1"/>
  <c r="E221" i="1"/>
  <c r="E222" i="1"/>
  <c r="E36" i="1"/>
</calcChain>
</file>

<file path=xl/sharedStrings.xml><?xml version="1.0" encoding="utf-8"?>
<sst xmlns="http://schemas.openxmlformats.org/spreadsheetml/2006/main" count="1327" uniqueCount="378">
  <si>
    <t>ID</t>
  </si>
  <si>
    <t>Produtos</t>
  </si>
  <si>
    <t>Preço</t>
  </si>
  <si>
    <t>produto</t>
  </si>
  <si>
    <t>Valor</t>
  </si>
  <si>
    <t>Data</t>
  </si>
  <si>
    <t>senha</t>
  </si>
  <si>
    <t>pad-acessorios</t>
  </si>
  <si>
    <t>Loja</t>
  </si>
  <si>
    <t>Total</t>
  </si>
  <si>
    <t>Custo</t>
  </si>
  <si>
    <t>QTD.</t>
  </si>
  <si>
    <t>LOJAS</t>
  </si>
  <si>
    <t>Valor Total</t>
  </si>
  <si>
    <t>lucro Unid.</t>
  </si>
  <si>
    <t>id de venda</t>
  </si>
  <si>
    <t>usuario</t>
  </si>
  <si>
    <t>código</t>
  </si>
  <si>
    <t>id</t>
  </si>
  <si>
    <t>Calha de chuva CL</t>
  </si>
  <si>
    <t>Calha de chuva KOMBI CL</t>
  </si>
  <si>
    <t>Jogo polainas USA</t>
  </si>
  <si>
    <t>Jogo polainas ALE</t>
  </si>
  <si>
    <t>Jogo polainas estribo</t>
  </si>
  <si>
    <t>Reforço palalama traseiro</t>
  </si>
  <si>
    <t>Polainas paralama traseiro</t>
  </si>
  <si>
    <t>Polainas paralama dianteiro</t>
  </si>
  <si>
    <t>Reforço palalama dianteiro</t>
  </si>
  <si>
    <t>Reforço paralama traseiro CL</t>
  </si>
  <si>
    <t>Calha de chuva</t>
  </si>
  <si>
    <t>Calha de chuva KOMBI</t>
  </si>
  <si>
    <t>Reforço palalama dianteiro CL</t>
  </si>
  <si>
    <t>Protetor Pé de Coluna liso</t>
  </si>
  <si>
    <t>Protetor Pé de Coluna frisado</t>
  </si>
  <si>
    <t>Protetor Pé de Coluna CL</t>
  </si>
  <si>
    <t>Protetor Pé de Coluna KOMBI</t>
  </si>
  <si>
    <t>Canto estreito de porta</t>
  </si>
  <si>
    <t>Canto largo de porta</t>
  </si>
  <si>
    <t>Gravatinha de capó moderno</t>
  </si>
  <si>
    <t>Gravatinha de capó antigo</t>
  </si>
  <si>
    <t>Pestana farol CL grande</t>
  </si>
  <si>
    <t>Pestana farol CL pequeno</t>
  </si>
  <si>
    <t>Pestana farol liso</t>
  </si>
  <si>
    <t>Saboneteira de maçaneta</t>
  </si>
  <si>
    <t>Espelho N1</t>
  </si>
  <si>
    <t>Espelho N2</t>
  </si>
  <si>
    <t>Espelho N3</t>
  </si>
  <si>
    <t>Espelho N4</t>
  </si>
  <si>
    <t>Espelho N5</t>
  </si>
  <si>
    <t>Espelho N6</t>
  </si>
  <si>
    <t>Espelho N7</t>
  </si>
  <si>
    <t>Espelho N8</t>
  </si>
  <si>
    <t>Espelho N9</t>
  </si>
  <si>
    <t>Estribo caixa de ar liso</t>
  </si>
  <si>
    <t>Estribo caixa de ar frisado</t>
  </si>
  <si>
    <t>Pestana parabrisa dianteiro</t>
  </si>
  <si>
    <t>Pestana vigia traseiro</t>
  </si>
  <si>
    <t>Soleira pisante KOMBI</t>
  </si>
  <si>
    <t>Aplique porta luva</t>
  </si>
  <si>
    <t>Calota abautada 5X4</t>
  </si>
  <si>
    <t>Calota abautada CL grande</t>
  </si>
  <si>
    <t>Calota abautada CL pequeno</t>
  </si>
  <si>
    <t>Calota abautada lisa</t>
  </si>
  <si>
    <t>Calota speed</t>
  </si>
  <si>
    <t>Calota viagem</t>
  </si>
  <si>
    <t>Calota copinho VW</t>
  </si>
  <si>
    <t>Calota copinho paulistario</t>
  </si>
  <si>
    <t>Calota reta</t>
  </si>
  <si>
    <t>Calota reta e lisa</t>
  </si>
  <si>
    <t>Cestinha cromada</t>
  </si>
  <si>
    <t>Cestinha bege</t>
  </si>
  <si>
    <t>Cetinha branca</t>
  </si>
  <si>
    <t>Cestinha preta</t>
  </si>
  <si>
    <t>Cestinha kombi</t>
  </si>
  <si>
    <t>Cestinha TOP</t>
  </si>
  <si>
    <t>Cestinha gol</t>
  </si>
  <si>
    <t>Cestinha traseira fusca</t>
  </si>
  <si>
    <t>Porta copo individual</t>
  </si>
  <si>
    <t>Porta treco cromado</t>
  </si>
  <si>
    <t>Porta treco bambu</t>
  </si>
  <si>
    <t>Ponteiras 16cm vir./desm.</t>
  </si>
  <si>
    <t>Ponteiras 23cm vir./desm.</t>
  </si>
  <si>
    <t>Ponteiras 27cm vir./desm.</t>
  </si>
  <si>
    <t>Ponteiras 30cm vir./desm.</t>
  </si>
  <si>
    <t>Ponteiras 38cm vir./desm.</t>
  </si>
  <si>
    <t>Ponteiras corsa</t>
  </si>
  <si>
    <t>Ponteiras 23cm com miolo</t>
  </si>
  <si>
    <t>Ponteiras 27cm com miolo</t>
  </si>
  <si>
    <t>Ponteiras 27cm chanfrada</t>
  </si>
  <si>
    <t>Ponteiras 23cm chanfrada</t>
  </si>
  <si>
    <t>Ponteiras grade escapamento</t>
  </si>
  <si>
    <t>BAG. teto cromado simples</t>
  </si>
  <si>
    <t>BAG. teto cometa</t>
  </si>
  <si>
    <t>BAG. teto californiano</t>
  </si>
  <si>
    <t>Maleiro</t>
  </si>
  <si>
    <t>Maleiro copô porta malas</t>
  </si>
  <si>
    <t>Persiana bege P fixa</t>
  </si>
  <si>
    <t>Persiana branca P fixa</t>
  </si>
  <si>
    <t>Persiana bege G fixa</t>
  </si>
  <si>
    <t>Persiana branca G fixa</t>
  </si>
  <si>
    <t>Persiana retrátil P</t>
  </si>
  <si>
    <t>Persiana retrátil G</t>
  </si>
  <si>
    <t>Persiana diversas fixa</t>
  </si>
  <si>
    <t>Persiana diversas retrátil</t>
  </si>
  <si>
    <t>Kit jet 2.0</t>
  </si>
  <si>
    <t>Kit jet 3.0</t>
  </si>
  <si>
    <t>Manopla siri</t>
  </si>
  <si>
    <t>Manopla bola de bilhar</t>
  </si>
  <si>
    <t>Manopla personalizada</t>
  </si>
  <si>
    <t>Manopla MOON</t>
  </si>
  <si>
    <t>Manopla padrão original SN</t>
  </si>
  <si>
    <t>Manopla padrão original CN</t>
  </si>
  <si>
    <t>Manopla caveira mexicana</t>
  </si>
  <si>
    <t>Manopla caveira personalizada</t>
  </si>
  <si>
    <t>Emblema 1200</t>
  </si>
  <si>
    <t>Emblema 1300</t>
  </si>
  <si>
    <t>Emblema 1500</t>
  </si>
  <si>
    <t>Emblema 1600</t>
  </si>
  <si>
    <t>Emblema VW 1600</t>
  </si>
  <si>
    <t>Emblema L</t>
  </si>
  <si>
    <t>Emblema VW</t>
  </si>
  <si>
    <t>Emblema VW capô metal</t>
  </si>
  <si>
    <t>Emblema VW capô alumínio</t>
  </si>
  <si>
    <t>Emblema Volkswagen</t>
  </si>
  <si>
    <t>Emblema Volkswagen ALE</t>
  </si>
  <si>
    <t>Emblema Volkswagen painel P</t>
  </si>
  <si>
    <t>Emblema cruz de malta</t>
  </si>
  <si>
    <t>Emblema Chevrolet</t>
  </si>
  <si>
    <t>Emblema OPALA</t>
  </si>
  <si>
    <t>Emblema CARAVAN</t>
  </si>
  <si>
    <t>Emblema COMODORO</t>
  </si>
  <si>
    <t>Emblema SUPER opala</t>
  </si>
  <si>
    <t>Emblema 4100</t>
  </si>
  <si>
    <t>Emblema mira capô galaxy</t>
  </si>
  <si>
    <t>Emblema placa c10</t>
  </si>
  <si>
    <t>Emblema mira capô VW fusca</t>
  </si>
  <si>
    <t>Emblema VW ALE KOMBI</t>
  </si>
  <si>
    <t>Plaquinha BR roberto</t>
  </si>
  <si>
    <t>Plaquinha BR kinkas</t>
  </si>
  <si>
    <t>Plaquinha BR luciano</t>
  </si>
  <si>
    <t>Plaquinha BR EMPI</t>
  </si>
  <si>
    <t>Grade buzina USA</t>
  </si>
  <si>
    <t>Grade buzina comum chapéu</t>
  </si>
  <si>
    <t>Grade buzina VW</t>
  </si>
  <si>
    <t>Grade buzina comum alumínio</t>
  </si>
  <si>
    <t>Grade farol quadriculada</t>
  </si>
  <si>
    <t>Grade farol comum</t>
  </si>
  <si>
    <t>Grade farol reta modelo EMPI</t>
  </si>
  <si>
    <t>Jogo botão antigo marfim</t>
  </si>
  <si>
    <t>Jogo botão antigo preto</t>
  </si>
  <si>
    <t>Jogo botão moderno marrom</t>
  </si>
  <si>
    <t>Jogo botão moderno preto</t>
  </si>
  <si>
    <t>Jogo botão moderno metal</t>
  </si>
  <si>
    <t>Roseta ar quente preto</t>
  </si>
  <si>
    <t>Roseta ar quente marfim</t>
  </si>
  <si>
    <t>Cabo de capô preto</t>
  </si>
  <si>
    <t>Cabo de capô marfim</t>
  </si>
  <si>
    <t>Soquete seta fina - par</t>
  </si>
  <si>
    <t>Borracha seta fina - par</t>
  </si>
  <si>
    <t>Seta lente fina - par</t>
  </si>
  <si>
    <t>Capa seta fina - par</t>
  </si>
  <si>
    <t>Seta completa</t>
  </si>
  <si>
    <t>Seta lente comum - par</t>
  </si>
  <si>
    <t>Seta fina completa - par</t>
  </si>
  <si>
    <t>Volante cálice</t>
  </si>
  <si>
    <t>Volante jay matt</t>
  </si>
  <si>
    <t>Aro de volante cálice fusca</t>
  </si>
  <si>
    <t>Aro de volante cálice variant</t>
  </si>
  <si>
    <t>Botão de buzina cálice</t>
  </si>
  <si>
    <t>Botão de buzina com relógio</t>
  </si>
  <si>
    <t>Arruela de contato</t>
  </si>
  <si>
    <t>Reparo de buzina</t>
  </si>
  <si>
    <t>Adaptador estria fina</t>
  </si>
  <si>
    <t>Adaptador estria grossa</t>
  </si>
  <si>
    <t>Brasão</t>
  </si>
  <si>
    <t>Moldura</t>
  </si>
  <si>
    <t>Vasinho P</t>
  </si>
  <si>
    <t>Vasinho G</t>
  </si>
  <si>
    <t>Vasinho P pimenta</t>
  </si>
  <si>
    <t>Vasinho G pimenta</t>
  </si>
  <si>
    <t>Vasinho Havaiana G</t>
  </si>
  <si>
    <t>M.Radio frente fusca C/friso</t>
  </si>
  <si>
    <t>M.Radio frente boch preta</t>
  </si>
  <si>
    <t>M.Radio frente boch cromada</t>
  </si>
  <si>
    <t>M.Radio frente boch divisória</t>
  </si>
  <si>
    <t>Faixa branca estreita jogo</t>
  </si>
  <si>
    <t>Faixa branca larga jogo</t>
  </si>
  <si>
    <t>Faixa branca filete jogo</t>
  </si>
  <si>
    <t>Manivela vidro antigo</t>
  </si>
  <si>
    <t>Manivela vidro esportivo</t>
  </si>
  <si>
    <t>Maçaneta porta antigo</t>
  </si>
  <si>
    <t>Maçaneta porta esportivo</t>
  </si>
  <si>
    <t>Manivela vidro simples</t>
  </si>
  <si>
    <t>Maçaneta externa com chave</t>
  </si>
  <si>
    <t>Pedaleira rooler alumínio</t>
  </si>
  <si>
    <t>Adesivo ano pequeno</t>
  </si>
  <si>
    <t>Adesivo ano grande</t>
  </si>
  <si>
    <t>Adesivos diversos</t>
  </si>
  <si>
    <t>Adesivos escritos</t>
  </si>
  <si>
    <t>Adesivos personalizados</t>
  </si>
  <si>
    <t>Retrovisor raquete</t>
  </si>
  <si>
    <t>Retrovisor mexicano</t>
  </si>
  <si>
    <t>Retrovisor pino de porta</t>
  </si>
  <si>
    <t>Retrovisor interno alumínio</t>
  </si>
  <si>
    <t>Trinco basculante marfim</t>
  </si>
  <si>
    <t>Trinco basculante preto</t>
  </si>
  <si>
    <t>Apoio de basculante</t>
  </si>
  <si>
    <t>Extensor de basculante</t>
  </si>
  <si>
    <t>Capa de dobradiça</t>
  </si>
  <si>
    <t>Farol milha quadrado</t>
  </si>
  <si>
    <t>Farol milha quadrado amarelo</t>
  </si>
  <si>
    <t>Farol milha slim</t>
  </si>
  <si>
    <t>Farol milha slim raiado</t>
  </si>
  <si>
    <t>Farol milha grande</t>
  </si>
  <si>
    <t>Farol milha grande amarelo</t>
  </si>
  <si>
    <t>Farol olho de boi</t>
  </si>
  <si>
    <t>Filtro carburador</t>
  </si>
  <si>
    <t>filtro mini - respiro</t>
  </si>
  <si>
    <t>Filtro caveira C/ capacete</t>
  </si>
  <si>
    <t>Filtro caveira S/ capacete</t>
  </si>
  <si>
    <t>Filtro caveira simples</t>
  </si>
  <si>
    <t>Alavanca 38cm</t>
  </si>
  <si>
    <t>Alavanca 42cm</t>
  </si>
  <si>
    <t>Alavanca original</t>
  </si>
  <si>
    <t>Alavanca bege</t>
  </si>
  <si>
    <t>Cx ferramenta hazet 5furos</t>
  </si>
  <si>
    <t>Cx ferramenta hazet 4furos</t>
  </si>
  <si>
    <t>Capa freio de mão cromada</t>
  </si>
  <si>
    <t>Saboneteira maçaneta alumínio</t>
  </si>
  <si>
    <t>Espelho int. maçaneta alumínio</t>
  </si>
  <si>
    <t>Gravatinha alumínio</t>
  </si>
  <si>
    <t>Pestana farol alumínio</t>
  </si>
  <si>
    <t>Polaina dianteira alumínio</t>
  </si>
  <si>
    <t>Polaina traseira alumínio</t>
  </si>
  <si>
    <t>Reforço dianteiro alumínio</t>
  </si>
  <si>
    <t>Reforço traseiro alumínio</t>
  </si>
  <si>
    <t>Estribinho fusca alumínio</t>
  </si>
  <si>
    <t>Estribinho de brasília alumínio</t>
  </si>
  <si>
    <t>Presilha de calotas</t>
  </si>
  <si>
    <t>Saca calota</t>
  </si>
  <si>
    <t>Capa de parafuso</t>
  </si>
  <si>
    <t>davierick</t>
  </si>
  <si>
    <t>PAD-local</t>
  </si>
  <si>
    <t>Mercado-Livre</t>
  </si>
  <si>
    <t>Eventos</t>
  </si>
  <si>
    <t>Flex</t>
  </si>
  <si>
    <t>Particular</t>
  </si>
  <si>
    <t>calha de brasilia CL</t>
  </si>
  <si>
    <t xml:space="preserve">calha de brasilia </t>
  </si>
  <si>
    <t>Jogo polainas estribo CL</t>
  </si>
  <si>
    <t>Jogo polainas estribo Liso</t>
  </si>
  <si>
    <t>Gravatinha de capó moderno CL</t>
  </si>
  <si>
    <t>Gravatinha de capó antigo CL</t>
  </si>
  <si>
    <t>Pestana parabrisa dianteiro CL</t>
  </si>
  <si>
    <t>Pestana vigia traseiro CL</t>
  </si>
  <si>
    <t>Calota abaulada CL grande</t>
  </si>
  <si>
    <t>Calota abaulada CL pequeno</t>
  </si>
  <si>
    <t>Calota abaulada lisa</t>
  </si>
  <si>
    <t>Persiana bege P fixa uld vintage</t>
  </si>
  <si>
    <t>Persiana bege G fixa uld vintage</t>
  </si>
  <si>
    <t>Persiana bege  fixa uld vintage oval</t>
  </si>
  <si>
    <t>Persiana bege P fixa sans lap</t>
  </si>
  <si>
    <t>Persiana bege G fixa sans lap</t>
  </si>
  <si>
    <t xml:space="preserve">Faixa branca estreita </t>
  </si>
  <si>
    <t>Faixa branca larga</t>
  </si>
  <si>
    <t>Faixa branca filete</t>
  </si>
  <si>
    <t>calha de brasilia</t>
  </si>
  <si>
    <t>jodo polaina estribo CL</t>
  </si>
  <si>
    <t>jogo de polaina estribo liso</t>
  </si>
  <si>
    <t>Gravatinha do capô moderno CL</t>
  </si>
  <si>
    <t>Gravatinha de capô antigo CL</t>
  </si>
  <si>
    <t>Persiana vigia P fixa Uld vintage</t>
  </si>
  <si>
    <t>persiana bege fixa uld vintage oval</t>
  </si>
  <si>
    <t xml:space="preserve">copo personalizado fusca </t>
  </si>
  <si>
    <t>copo personalizado kombi</t>
  </si>
  <si>
    <t xml:space="preserve">antena 2 pontos </t>
  </si>
  <si>
    <t xml:space="preserve">antena simples </t>
  </si>
  <si>
    <t xml:space="preserve">Acabamento truff </t>
  </si>
  <si>
    <t xml:space="preserve">Brucutu </t>
  </si>
  <si>
    <t>Prolongador de alavanca reto</t>
  </si>
  <si>
    <t xml:space="preserve">Prolongador de Alavanca longo </t>
  </si>
  <si>
    <t xml:space="preserve">PQP do Painel </t>
  </si>
  <si>
    <t xml:space="preserve">Grade de Painel </t>
  </si>
  <si>
    <t xml:space="preserve">Par de Apoio de Braço </t>
  </si>
  <si>
    <t xml:space="preserve">Capa de Farol de Milha Quadrado </t>
  </si>
  <si>
    <t xml:space="preserve">Capa de Farol de MIlha </t>
  </si>
  <si>
    <t xml:space="preserve">Quadrinho Vintage </t>
  </si>
  <si>
    <t xml:space="preserve">Tapa Sol </t>
  </si>
  <si>
    <t xml:space="preserve">Roseta de Metal Bege </t>
  </si>
  <si>
    <t xml:space="preserve">Volante Madeira Grande </t>
  </si>
  <si>
    <t>teste</t>
  </si>
  <si>
    <t>Venda</t>
  </si>
  <si>
    <t>Compra</t>
  </si>
  <si>
    <t>Lucro</t>
  </si>
  <si>
    <t>TOTAIS</t>
  </si>
  <si>
    <t>****</t>
  </si>
  <si>
    <t>Maleiro capô porta malas</t>
  </si>
  <si>
    <t>Chaveiro VW</t>
  </si>
  <si>
    <t>cheirinho</t>
  </si>
  <si>
    <t>botão de buzina alemão</t>
  </si>
  <si>
    <t>jogo polaina estribo CL</t>
  </si>
  <si>
    <t>Maleiro traseiro</t>
  </si>
  <si>
    <t>Vasinho vintage kk</t>
  </si>
  <si>
    <t>Vasinho vintage G kk</t>
  </si>
  <si>
    <t>chaveiro de capô</t>
  </si>
  <si>
    <t>chaveiro manuscrito</t>
  </si>
  <si>
    <t>chaveiro bonequinha</t>
  </si>
  <si>
    <t>Emblema VW capô Super</t>
  </si>
  <si>
    <t>Emblema Kombi Ale.KK</t>
  </si>
  <si>
    <t>Embrala Barasilia KK</t>
  </si>
  <si>
    <t>Polainas paralana traseiro CL</t>
  </si>
  <si>
    <t>Polainas paralana dianteiro CL</t>
  </si>
  <si>
    <t>Jogo de Polainas Traseiro</t>
  </si>
  <si>
    <t>Jogo de Polainas Dianteira</t>
  </si>
  <si>
    <t>Jogo de polainas de estribo</t>
  </si>
  <si>
    <t>Chaveiro paulistario</t>
  </si>
  <si>
    <t>Estoque</t>
  </si>
  <si>
    <t xml:space="preserve">Painel moderno </t>
  </si>
  <si>
    <t xml:space="preserve">Mala antiga </t>
  </si>
  <si>
    <t>capa freio de mão cromada</t>
  </si>
  <si>
    <t>prolongador de alavanca curvo</t>
  </si>
  <si>
    <t>adesivo de calota</t>
  </si>
  <si>
    <t>manopla metal R</t>
  </si>
  <si>
    <t>adesivo roda grande pimentas</t>
  </si>
  <si>
    <t>adesivo calota p pimenta</t>
  </si>
  <si>
    <t>Polainas traseira aluminio</t>
  </si>
  <si>
    <t>Polainas dianteira de aluminio</t>
  </si>
  <si>
    <t xml:space="preserve"> Havaiana </t>
  </si>
  <si>
    <t xml:space="preserve">Lanterna  de freio </t>
  </si>
  <si>
    <t>capa de seta metal comum - par</t>
  </si>
  <si>
    <t xml:space="preserve">Alavanca de cambio bege 38 cm </t>
  </si>
  <si>
    <t>Alavanca de cambio preta 42 cm</t>
  </si>
  <si>
    <t>PQP do Painel Cromado</t>
  </si>
  <si>
    <t>PQP do Painel Bege</t>
  </si>
  <si>
    <t>PQP do Painel Preto</t>
  </si>
  <si>
    <t>PQP do Painel Branco</t>
  </si>
  <si>
    <t>manopla bilhar marcha bege</t>
  </si>
  <si>
    <t>manopla bilhar marcha preta</t>
  </si>
  <si>
    <t>manopa bilhar marcha branca</t>
  </si>
  <si>
    <t>Manopla padrão original S/N bege</t>
  </si>
  <si>
    <t>Manopla padrão original CN bege</t>
  </si>
  <si>
    <t>manopla original CN preta</t>
  </si>
  <si>
    <t>manopla original SN preta</t>
  </si>
  <si>
    <t>Capa de seta metal  - par</t>
  </si>
  <si>
    <t>alavanca de engate rapido</t>
  </si>
  <si>
    <t>Pino de porta espostivo fusca</t>
  </si>
  <si>
    <t>botão porta luva Antigo</t>
  </si>
  <si>
    <t>antena simples c/ acabamento truff</t>
  </si>
  <si>
    <t>manopla VW Empi</t>
  </si>
  <si>
    <t>manopla VW fusca preta</t>
  </si>
  <si>
    <t>manopla VW fusca vermelha</t>
  </si>
  <si>
    <t>manopla VW fusca branca</t>
  </si>
  <si>
    <t>manopla Vw fusca bege</t>
  </si>
  <si>
    <t>manopla VW fusca verde</t>
  </si>
  <si>
    <t xml:space="preserve">Vidro Basculante </t>
  </si>
  <si>
    <t xml:space="preserve">Volante moderno </t>
  </si>
  <si>
    <t>Capa de pedal até 1975</t>
  </si>
  <si>
    <t>Capa de pedal a partir 1976</t>
  </si>
  <si>
    <t>Manivela Antigo MARFIM und.</t>
  </si>
  <si>
    <t xml:space="preserve">cinzero original metal </t>
  </si>
  <si>
    <t>Rodas 5 furos tala 5,5</t>
  </si>
  <si>
    <t>Shopee</t>
  </si>
  <si>
    <t>persiana tl</t>
  </si>
  <si>
    <t>volante 4 Bolas</t>
  </si>
  <si>
    <t xml:space="preserve">SOLEIRA BRASILIA </t>
  </si>
  <si>
    <t>alavanca ant-furto</t>
  </si>
  <si>
    <t>&gt;=08/07/2021</t>
  </si>
  <si>
    <t>&lt;=08/07/2021</t>
  </si>
  <si>
    <t>Brasão paulistario</t>
  </si>
  <si>
    <t>Brasão aguia amarelo</t>
  </si>
  <si>
    <t>Brasão castelo preto</t>
  </si>
  <si>
    <t>Brasão Castelo Branco</t>
  </si>
  <si>
    <t>Brasão Aguia Vermelha</t>
  </si>
  <si>
    <t>Brasão Okrasa</t>
  </si>
  <si>
    <t>Brasão Wolfsburg</t>
  </si>
  <si>
    <t xml:space="preserve">Botão de Radio Pequeno </t>
  </si>
  <si>
    <t>Botão de Radio Médio</t>
  </si>
  <si>
    <t xml:space="preserve">Botão de Radio Grande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</si>
</sst>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/>
    <xf numFmtId="164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0" fontId="2" fillId="0" borderId="0" xfId="0" applyFont="1"/>
    <xf numFmtId="0" fontId="0" fillId="0" borderId="0" xfId="0" applyFont="1"/>
    <xf numFmtId="0" fontId="0" fillId="0" borderId="1" xfId="0" applyBorder="1" applyAlignment="1">
      <alignment horizontal="center"/>
    </xf>
    <xf numFmtId="14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1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/>
    <xf numFmtId="0" fontId="0" fillId="0" borderId="0" xfId="0" applyBorder="1"/>
    <xf numFmtId="1" fontId="0" fillId="0" borderId="0" xfId="0" applyNumberFormat="1" applyBorder="1"/>
    <xf numFmtId="0" fontId="4" fillId="3" borderId="0" xfId="0" applyFont="1" applyFill="1" applyBorder="1"/>
    <xf numFmtId="1" fontId="0" fillId="0" borderId="0" xfId="0" applyNumberForma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ont="1" applyBorder="1"/>
    <xf numFmtId="164" fontId="0" fillId="0" borderId="0" xfId="0" applyNumberFormat="1" applyBorder="1"/>
    <xf numFmtId="0" fontId="5" fillId="0" borderId="0" xfId="0" applyNumberFormat="1" applyFont="1" applyBorder="1"/>
    <xf numFmtId="0" fontId="5" fillId="0" borderId="0" xfId="0" applyFont="1" applyFill="1" applyBorder="1"/>
    <xf numFmtId="0" fontId="5" fillId="0" borderId="0" xfId="0" applyFont="1" applyBorder="1"/>
    <xf numFmtId="164" fontId="0" fillId="0" borderId="0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0" fontId="0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NumberFormat="1" applyFill="1" applyBorder="1"/>
    <xf numFmtId="0" fontId="0" fillId="2" borderId="2" xfId="0" applyFill="1" applyBorder="1"/>
    <xf numFmtId="164" fontId="0" fillId="0" borderId="2" xfId="0" applyNumberFormat="1" applyBorder="1"/>
    <xf numFmtId="0" fontId="0" fillId="0" borderId="2" xfId="0" applyFont="1" applyBorder="1"/>
    <xf numFmtId="164" fontId="5" fillId="0" borderId="2" xfId="0" applyNumberFormat="1" applyFont="1" applyBorder="1"/>
    <xf numFmtId="164" fontId="5" fillId="0" borderId="2" xfId="0" applyNumberFormat="1" applyFont="1" applyBorder="1"/>
    <xf numFmtId="1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/>
    <xf numFmtId="1" fontId="0" fillId="0" borderId="3" xfId="0" applyNumberFormat="1" applyBorder="1"/>
    <xf numFmtId="0" fontId="0" fillId="0" borderId="3" xfId="0" applyBorder="1"/>
    <xf numFmtId="164" fontId="0" fillId="0" borderId="3" xfId="0" applyNumberFormat="1" applyBorder="1"/>
    <xf numFmtId="0" fontId="0" fillId="0" borderId="3" xfId="0" applyNumberFormat="1" applyBorder="1"/>
    <xf numFmtId="1" fontId="0" fillId="2" borderId="2" xfId="0" applyNumberFormat="1" applyFill="1" applyBorder="1" applyAlignment="1">
      <alignment horizontal="center"/>
    </xf>
    <xf numFmtId="14" fontId="0" fillId="2" borderId="2" xfId="0" applyNumberFormat="1" applyFill="1" applyBorder="1"/>
    <xf numFmtId="0" fontId="5" fillId="2" borderId="2" xfId="0" applyFont="1" applyFill="1" applyBorder="1" applyAlignment="1">
      <alignment horizontal="center"/>
    </xf>
    <xf numFmtId="0" fontId="5" fillId="0" borderId="2" xfId="0" applyFont="1" applyBorder="1"/>
    <xf numFmtId="0" fontId="0" fillId="0" borderId="0" xfId="0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worksheet" Target="worksheets/sheet11.xml"/><Relationship Id="rId1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0.xml"/><Relationship Id="rId17" Type="http://schemas.openxmlformats.org/officeDocument/2006/relationships/calcChain" Target="calcChain.xml"/><Relationship Id="rId2" Type="http://schemas.openxmlformats.org/officeDocument/2006/relationships/chartsheet" Target="chartsheets/sheet1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7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usuarios!$A$2</c:f>
              <c:strCache>
                <c:ptCount val="1"/>
                <c:pt idx="0">
                  <c:v>pad-acessorios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usuarios!$B$1</c:f>
              <c:strCache>
                <c:ptCount val="1"/>
                <c:pt idx="0">
                  <c:v>senha</c:v>
                </c:pt>
              </c:strCache>
            </c:strRef>
          </c:cat>
          <c:val>
            <c:numRef>
              <c:f>usuarios!$B$2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4-40A0-BDF4-7D1DABACA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72909408"/>
        <c:axId val="-772897440"/>
      </c:barChart>
      <c:catAx>
        <c:axId val="-77290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772897440"/>
        <c:crosses val="autoZero"/>
        <c:auto val="1"/>
        <c:lblAlgn val="ctr"/>
        <c:lblOffset val="100"/>
        <c:noMultiLvlLbl val="0"/>
      </c:catAx>
      <c:valAx>
        <c:axId val="-77289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77290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Estoque!$C$1</c:f>
              <c:strCache>
                <c:ptCount val="1"/>
                <c:pt idx="0">
                  <c:v>Estoque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Estoque!$A$2:$B$227</c:f>
              <c:multiLvlStrCache>
                <c:ptCount val="226"/>
                <c:lvl>
                  <c:pt idx="0">
                    <c:v>Calha de chuva CL</c:v>
                  </c:pt>
                  <c:pt idx="1">
                    <c:v>Calha de chuva</c:v>
                  </c:pt>
                  <c:pt idx="2">
                    <c:v>Calha de chuva KOMBI CL</c:v>
                  </c:pt>
                  <c:pt idx="3">
                    <c:v>Calha de chuva KOMBI</c:v>
                  </c:pt>
                  <c:pt idx="4">
                    <c:v>Polainas paralana traseiro CL</c:v>
                  </c:pt>
                  <c:pt idx="5">
                    <c:v>Polainas paralana dianteiro CL</c:v>
                  </c:pt>
                  <c:pt idx="6">
                    <c:v>Jogo polainas USA</c:v>
                  </c:pt>
                  <c:pt idx="7">
                    <c:v>Jogo polainas ALE</c:v>
                  </c:pt>
                  <c:pt idx="8">
                    <c:v>Jogo polainas estribo CL</c:v>
                  </c:pt>
                  <c:pt idx="9">
                    <c:v>Reforço palalama traseiro</c:v>
                  </c:pt>
                  <c:pt idx="10">
                    <c:v>Reforço palalama dianteiro</c:v>
                  </c:pt>
                  <c:pt idx="11">
                    <c:v>Reforço paralama traseiro CL</c:v>
                  </c:pt>
                  <c:pt idx="12">
                    <c:v>Reforço palalama dianteiro CL</c:v>
                  </c:pt>
                  <c:pt idx="13">
                    <c:v>Protetor Pé de Coluna liso</c:v>
                  </c:pt>
                  <c:pt idx="14">
                    <c:v>Protetor Pé de Coluna frisado</c:v>
                  </c:pt>
                  <c:pt idx="15">
                    <c:v>Protetor Pé de Coluna CL</c:v>
                  </c:pt>
                  <c:pt idx="16">
                    <c:v>Protetor Pé de Coluna KOMBI</c:v>
                  </c:pt>
                  <c:pt idx="17">
                    <c:v>Canto estreito de porta</c:v>
                  </c:pt>
                  <c:pt idx="18">
                    <c:v>Canto largo de porta</c:v>
                  </c:pt>
                  <c:pt idx="19">
                    <c:v>Gravatinha de capó moderno</c:v>
                  </c:pt>
                  <c:pt idx="20">
                    <c:v>Gravatinha de capó antigo</c:v>
                  </c:pt>
                  <c:pt idx="21">
                    <c:v>Pestana farol CL grande</c:v>
                  </c:pt>
                  <c:pt idx="22">
                    <c:v>Pestana farol CL pequeno</c:v>
                  </c:pt>
                  <c:pt idx="23">
                    <c:v>Pestana farol liso</c:v>
                  </c:pt>
                  <c:pt idx="24">
                    <c:v>Saboneteira de maçaneta</c:v>
                  </c:pt>
                  <c:pt idx="25">
                    <c:v>Espelho N1</c:v>
                  </c:pt>
                  <c:pt idx="26">
                    <c:v>Espelho N2</c:v>
                  </c:pt>
                  <c:pt idx="27">
                    <c:v>Espelho N3</c:v>
                  </c:pt>
                  <c:pt idx="28">
                    <c:v>Espelho N4</c:v>
                  </c:pt>
                  <c:pt idx="29">
                    <c:v>Espelho N5</c:v>
                  </c:pt>
                  <c:pt idx="30">
                    <c:v>Espelho N6</c:v>
                  </c:pt>
                  <c:pt idx="31">
                    <c:v>Espelho N7</c:v>
                  </c:pt>
                  <c:pt idx="32">
                    <c:v>Espelho N8</c:v>
                  </c:pt>
                  <c:pt idx="33">
                    <c:v>Espelho N9</c:v>
                  </c:pt>
                  <c:pt idx="34">
                    <c:v>Estribo caixa de ar liso</c:v>
                  </c:pt>
                  <c:pt idx="35">
                    <c:v>Estribo caixa de ar frisado</c:v>
                  </c:pt>
                  <c:pt idx="36">
                    <c:v>Pestana parabrisa dianteiro</c:v>
                  </c:pt>
                  <c:pt idx="37">
                    <c:v>Pestana vigia traseiro</c:v>
                  </c:pt>
                  <c:pt idx="38">
                    <c:v>Soleira pisante KOMBI</c:v>
                  </c:pt>
                  <c:pt idx="39">
                    <c:v>Aplique porta luva</c:v>
                  </c:pt>
                  <c:pt idx="40">
                    <c:v>Calota abautada 5X4</c:v>
                  </c:pt>
                  <c:pt idx="41">
                    <c:v>Calota abaulada CL grande</c:v>
                  </c:pt>
                  <c:pt idx="42">
                    <c:v>Calota abaulada CL pequeno</c:v>
                  </c:pt>
                  <c:pt idx="43">
                    <c:v>Calota abaulada lisa</c:v>
                  </c:pt>
                  <c:pt idx="44">
                    <c:v>Calota speed</c:v>
                  </c:pt>
                  <c:pt idx="45">
                    <c:v>Calota viagem</c:v>
                  </c:pt>
                  <c:pt idx="46">
                    <c:v>Calota copinho VW</c:v>
                  </c:pt>
                  <c:pt idx="47">
                    <c:v>Calota copinho paulistario</c:v>
                  </c:pt>
                  <c:pt idx="48">
                    <c:v>Calota reta</c:v>
                  </c:pt>
                  <c:pt idx="49">
                    <c:v>Calota reta e lisa</c:v>
                  </c:pt>
                  <c:pt idx="50">
                    <c:v>Cestinha cromada</c:v>
                  </c:pt>
                  <c:pt idx="51">
                    <c:v>Cestinha bege</c:v>
                  </c:pt>
                  <c:pt idx="52">
                    <c:v>Cetinha branca</c:v>
                  </c:pt>
                  <c:pt idx="53">
                    <c:v>Cestinha preta</c:v>
                  </c:pt>
                  <c:pt idx="54">
                    <c:v>Cestinha kombi</c:v>
                  </c:pt>
                  <c:pt idx="55">
                    <c:v>Cestinha TOP</c:v>
                  </c:pt>
                  <c:pt idx="56">
                    <c:v>Cestinha gol</c:v>
                  </c:pt>
                  <c:pt idx="57">
                    <c:v>Cestinha traseira fusca</c:v>
                  </c:pt>
                  <c:pt idx="58">
                    <c:v>Porta copo individual</c:v>
                  </c:pt>
                  <c:pt idx="59">
                    <c:v>Porta treco cromado</c:v>
                  </c:pt>
                  <c:pt idx="60">
                    <c:v>Porta treco bambu</c:v>
                  </c:pt>
                  <c:pt idx="61">
                    <c:v>Ponteiras 16cm vir./desm.</c:v>
                  </c:pt>
                  <c:pt idx="62">
                    <c:v>Ponteiras 23cm vir./desm.</c:v>
                  </c:pt>
                  <c:pt idx="63">
                    <c:v>Ponteiras 27cm vir./desm.</c:v>
                  </c:pt>
                  <c:pt idx="64">
                    <c:v>Ponteiras 30cm vir./desm.</c:v>
                  </c:pt>
                  <c:pt idx="65">
                    <c:v>Ponteiras 38cm vir./desm.</c:v>
                  </c:pt>
                  <c:pt idx="66">
                    <c:v>Ponteiras corsa</c:v>
                  </c:pt>
                  <c:pt idx="67">
                    <c:v>Ponteiras 23cm com miolo</c:v>
                  </c:pt>
                  <c:pt idx="68">
                    <c:v>Ponteiras 27cm com miolo</c:v>
                  </c:pt>
                  <c:pt idx="69">
                    <c:v>Ponteiras 23cm chanfrada</c:v>
                  </c:pt>
                  <c:pt idx="70">
                    <c:v>Ponteiras 27cm chanfrada</c:v>
                  </c:pt>
                  <c:pt idx="71">
                    <c:v>Ponteiras grade escapamento</c:v>
                  </c:pt>
                  <c:pt idx="72">
                    <c:v>BAG. teto cromado simples</c:v>
                  </c:pt>
                  <c:pt idx="73">
                    <c:v>BAG. teto californiano</c:v>
                  </c:pt>
                  <c:pt idx="74">
                    <c:v>BAG. teto cometa</c:v>
                  </c:pt>
                  <c:pt idx="75">
                    <c:v>Maleiro</c:v>
                  </c:pt>
                  <c:pt idx="76">
                    <c:v>Maleiro copô porta malas</c:v>
                  </c:pt>
                  <c:pt idx="77">
                    <c:v>Persiana bege P fixa sans lap</c:v>
                  </c:pt>
                  <c:pt idx="78">
                    <c:v>Persiana branca P fixa</c:v>
                  </c:pt>
                  <c:pt idx="79">
                    <c:v>Persiana bege G fixa sans lap</c:v>
                  </c:pt>
                  <c:pt idx="80">
                    <c:v>Persiana branca G fixa</c:v>
                  </c:pt>
                  <c:pt idx="81">
                    <c:v>Persiana retrátil P</c:v>
                  </c:pt>
                  <c:pt idx="82">
                    <c:v>Persiana retrátil G</c:v>
                  </c:pt>
                  <c:pt idx="83">
                    <c:v>Persiana diversas fixa</c:v>
                  </c:pt>
                  <c:pt idx="84">
                    <c:v>Persiana diversas retrátil</c:v>
                  </c:pt>
                  <c:pt idx="85">
                    <c:v>Kit jet 2.0</c:v>
                  </c:pt>
                  <c:pt idx="86">
                    <c:v>Kit jet 3.0</c:v>
                  </c:pt>
                  <c:pt idx="87">
                    <c:v>Manopla siri</c:v>
                  </c:pt>
                  <c:pt idx="88">
                    <c:v>Manopla bola de bilhar</c:v>
                  </c:pt>
                  <c:pt idx="89">
                    <c:v>Manopla personalizada</c:v>
                  </c:pt>
                  <c:pt idx="90">
                    <c:v>Manopla MOON</c:v>
                  </c:pt>
                  <c:pt idx="91">
                    <c:v>Manopla padrão original SN</c:v>
                  </c:pt>
                  <c:pt idx="92">
                    <c:v>Manopla padrão original CN</c:v>
                  </c:pt>
                  <c:pt idx="93">
                    <c:v>Manopla caveira mexicana</c:v>
                  </c:pt>
                  <c:pt idx="94">
                    <c:v>Manopla caveira personalizada</c:v>
                  </c:pt>
                  <c:pt idx="95">
                    <c:v>Emblema 1200</c:v>
                  </c:pt>
                  <c:pt idx="96">
                    <c:v>Emblema 1300</c:v>
                  </c:pt>
                  <c:pt idx="97">
                    <c:v>Emblema 1500</c:v>
                  </c:pt>
                  <c:pt idx="98">
                    <c:v>Emblema 1600</c:v>
                  </c:pt>
                  <c:pt idx="99">
                    <c:v>Emblema VW 1600</c:v>
                  </c:pt>
                  <c:pt idx="100">
                    <c:v>Emblema L</c:v>
                  </c:pt>
                  <c:pt idx="101">
                    <c:v>Emblema VW</c:v>
                  </c:pt>
                  <c:pt idx="102">
                    <c:v>Emblema VW capô metal</c:v>
                  </c:pt>
                  <c:pt idx="103">
                    <c:v>Emblema VW capô alumínio</c:v>
                  </c:pt>
                  <c:pt idx="104">
                    <c:v>Emblema Volkswagen</c:v>
                  </c:pt>
                  <c:pt idx="105">
                    <c:v>Emblema Volkswagen ALE</c:v>
                  </c:pt>
                  <c:pt idx="106">
                    <c:v>Emblema Volkswagen painel P</c:v>
                  </c:pt>
                  <c:pt idx="107">
                    <c:v>Emblema cruz de malta</c:v>
                  </c:pt>
                  <c:pt idx="108">
                    <c:v>Emblema Chevrolet</c:v>
                  </c:pt>
                  <c:pt idx="109">
                    <c:v>Emblema OPALA</c:v>
                  </c:pt>
                  <c:pt idx="110">
                    <c:v>Emblema CARAVAN</c:v>
                  </c:pt>
                  <c:pt idx="111">
                    <c:v>Emblema COMODORO</c:v>
                  </c:pt>
                  <c:pt idx="112">
                    <c:v>Emblema SUPER opala</c:v>
                  </c:pt>
                  <c:pt idx="113">
                    <c:v>Emblema 4100</c:v>
                  </c:pt>
                  <c:pt idx="114">
                    <c:v>Emblema mira capô galaxy</c:v>
                  </c:pt>
                  <c:pt idx="115">
                    <c:v>Emblema placa c10</c:v>
                  </c:pt>
                  <c:pt idx="116">
                    <c:v>Emblema mira capô VW fusca</c:v>
                  </c:pt>
                  <c:pt idx="117">
                    <c:v>Emblema VW ALE KOMBI</c:v>
                  </c:pt>
                  <c:pt idx="118">
                    <c:v>Plaquinha BR roberto</c:v>
                  </c:pt>
                  <c:pt idx="119">
                    <c:v>Plaquinha BR kinkas</c:v>
                  </c:pt>
                  <c:pt idx="120">
                    <c:v>Plaquinha BR luciano</c:v>
                  </c:pt>
                  <c:pt idx="121">
                    <c:v>Plaquinha BR EMPI</c:v>
                  </c:pt>
                  <c:pt idx="122">
                    <c:v>Grade buzina USA</c:v>
                  </c:pt>
                  <c:pt idx="123">
                    <c:v>Grade buzina comum chapéu</c:v>
                  </c:pt>
                  <c:pt idx="124">
                    <c:v>Grade buzina VW</c:v>
                  </c:pt>
                  <c:pt idx="125">
                    <c:v>Grade buzina comum alumínio</c:v>
                  </c:pt>
                  <c:pt idx="126">
                    <c:v>Grade farol quadriculada</c:v>
                  </c:pt>
                  <c:pt idx="127">
                    <c:v>Grade farol comum</c:v>
                  </c:pt>
                  <c:pt idx="128">
                    <c:v>Grade farol reta modelo EMPI</c:v>
                  </c:pt>
                  <c:pt idx="129">
                    <c:v>Jogo botão antigo marfim</c:v>
                  </c:pt>
                  <c:pt idx="130">
                    <c:v>Jogo botão antigo preto</c:v>
                  </c:pt>
                  <c:pt idx="131">
                    <c:v>Jogo botão moderno marrom</c:v>
                  </c:pt>
                  <c:pt idx="132">
                    <c:v>Jogo botão moderno preto</c:v>
                  </c:pt>
                  <c:pt idx="133">
                    <c:v>Jogo botão moderno metal</c:v>
                  </c:pt>
                  <c:pt idx="134">
                    <c:v>Roseta ar quente preto</c:v>
                  </c:pt>
                  <c:pt idx="135">
                    <c:v>Roseta ar quente marfim</c:v>
                  </c:pt>
                  <c:pt idx="136">
                    <c:v>Cabo de capô preto</c:v>
                  </c:pt>
                  <c:pt idx="137">
                    <c:v>Cabo de capô marfim</c:v>
                  </c:pt>
                  <c:pt idx="138">
                    <c:v>Soquete seta fina - par</c:v>
                  </c:pt>
                  <c:pt idx="139">
                    <c:v>Borracha seta fina - par</c:v>
                  </c:pt>
                  <c:pt idx="140">
                    <c:v>Seta lente fina - par</c:v>
                  </c:pt>
                  <c:pt idx="141">
                    <c:v>Capa seta fina - par</c:v>
                  </c:pt>
                  <c:pt idx="142">
                    <c:v>Seta completa</c:v>
                  </c:pt>
                  <c:pt idx="143">
                    <c:v>Seta lente comum - par</c:v>
                  </c:pt>
                  <c:pt idx="144">
                    <c:v>Capa de seta metal  - par</c:v>
                  </c:pt>
                  <c:pt idx="145">
                    <c:v>Seta fina completa - par</c:v>
                  </c:pt>
                  <c:pt idx="146">
                    <c:v>Volante cálice</c:v>
                  </c:pt>
                  <c:pt idx="147">
                    <c:v>Volante jay matt</c:v>
                  </c:pt>
                  <c:pt idx="148">
                    <c:v>Aro de volante cálice fusca</c:v>
                  </c:pt>
                  <c:pt idx="149">
                    <c:v>Aro de volante cálice variant</c:v>
                  </c:pt>
                  <c:pt idx="150">
                    <c:v>Botão de buzina cálice</c:v>
                  </c:pt>
                  <c:pt idx="151">
                    <c:v>Botão de buzina com relógio</c:v>
                  </c:pt>
                  <c:pt idx="152">
                    <c:v>Arruela de contato</c:v>
                  </c:pt>
                  <c:pt idx="153">
                    <c:v>Reparo de buzina</c:v>
                  </c:pt>
                  <c:pt idx="154">
                    <c:v>Adaptador estria fina</c:v>
                  </c:pt>
                  <c:pt idx="155">
                    <c:v>Adaptador estria grossa</c:v>
                  </c:pt>
                  <c:pt idx="156">
                    <c:v>Brasão paulistario</c:v>
                  </c:pt>
                  <c:pt idx="157">
                    <c:v>Moldura</c:v>
                  </c:pt>
                  <c:pt idx="158">
                    <c:v>Vasinho P</c:v>
                  </c:pt>
                  <c:pt idx="159">
                    <c:v>Vasinho G</c:v>
                  </c:pt>
                  <c:pt idx="160">
                    <c:v>Vasinho P pimenta</c:v>
                  </c:pt>
                  <c:pt idx="161">
                    <c:v>Vasinho G pimenta</c:v>
                  </c:pt>
                  <c:pt idx="162">
                    <c:v>Vasinho Havaiana G</c:v>
                  </c:pt>
                  <c:pt idx="163">
                    <c:v>M.Radio frente fusca C/friso</c:v>
                  </c:pt>
                  <c:pt idx="164">
                    <c:v>M.Radio frente boch preta</c:v>
                  </c:pt>
                  <c:pt idx="165">
                    <c:v>M.Radio frente boch cromada</c:v>
                  </c:pt>
                  <c:pt idx="166">
                    <c:v>M.Radio frente boch divisória</c:v>
                  </c:pt>
                  <c:pt idx="167">
                    <c:v>Faixa branca estreita </c:v>
                  </c:pt>
                  <c:pt idx="168">
                    <c:v>Faixa branca larga</c:v>
                  </c:pt>
                  <c:pt idx="169">
                    <c:v>Faixa branca filete</c:v>
                  </c:pt>
                  <c:pt idx="170">
                    <c:v>Manivela vidro antigo</c:v>
                  </c:pt>
                  <c:pt idx="171">
                    <c:v>Manivela vidro simples</c:v>
                  </c:pt>
                  <c:pt idx="172">
                    <c:v>Manivela vidro esportivo</c:v>
                  </c:pt>
                  <c:pt idx="173">
                    <c:v>Maçaneta porta antigo</c:v>
                  </c:pt>
                  <c:pt idx="174">
                    <c:v>Maçaneta porta esportivo</c:v>
                  </c:pt>
                  <c:pt idx="175">
                    <c:v>Maçaneta externa com chave</c:v>
                  </c:pt>
                  <c:pt idx="176">
                    <c:v>Pedaleira rooler alumínio</c:v>
                  </c:pt>
                  <c:pt idx="177">
                    <c:v>Adesivo ano pequeno</c:v>
                  </c:pt>
                  <c:pt idx="178">
                    <c:v>Adesivo ano grande</c:v>
                  </c:pt>
                  <c:pt idx="179">
                    <c:v>Adesivos diversos</c:v>
                  </c:pt>
                  <c:pt idx="180">
                    <c:v>Adesivos escritos</c:v>
                  </c:pt>
                  <c:pt idx="181">
                    <c:v>Adesivos personalizados</c:v>
                  </c:pt>
                  <c:pt idx="182">
                    <c:v>Retrovisor raquete</c:v>
                  </c:pt>
                  <c:pt idx="183">
                    <c:v>Retrovisor mexicano</c:v>
                  </c:pt>
                  <c:pt idx="184">
                    <c:v>Retrovisor pino de porta</c:v>
                  </c:pt>
                  <c:pt idx="185">
                    <c:v>Retrovisor interno alumínio</c:v>
                  </c:pt>
                  <c:pt idx="186">
                    <c:v>Trinco basculante marfim</c:v>
                  </c:pt>
                  <c:pt idx="187">
                    <c:v>Trinco basculante preto</c:v>
                  </c:pt>
                  <c:pt idx="188">
                    <c:v>Apoio de basculante</c:v>
                  </c:pt>
                  <c:pt idx="189">
                    <c:v>Extensor de basculante</c:v>
                  </c:pt>
                  <c:pt idx="190">
                    <c:v>Capa de dobradiça</c:v>
                  </c:pt>
                  <c:pt idx="191">
                    <c:v>Farol milha quadrado</c:v>
                  </c:pt>
                  <c:pt idx="192">
                    <c:v>Farol milha quadrado amarelo</c:v>
                  </c:pt>
                  <c:pt idx="193">
                    <c:v>Farol milha slim</c:v>
                  </c:pt>
                  <c:pt idx="194">
                    <c:v>Farol milha slim raiado</c:v>
                  </c:pt>
                  <c:pt idx="195">
                    <c:v>Farol milha grande</c:v>
                  </c:pt>
                  <c:pt idx="196">
                    <c:v>Farol milha grande amarelo</c:v>
                  </c:pt>
                  <c:pt idx="197">
                    <c:v>Farol olho de boi</c:v>
                  </c:pt>
                  <c:pt idx="198">
                    <c:v>Filtro carburador</c:v>
                  </c:pt>
                  <c:pt idx="199">
                    <c:v>filtro mini - respiro</c:v>
                  </c:pt>
                  <c:pt idx="200">
                    <c:v>Filtro caveira C/ capacete</c:v>
                  </c:pt>
                  <c:pt idx="201">
                    <c:v>Filtro caveira S/ capacete</c:v>
                  </c:pt>
                  <c:pt idx="202">
                    <c:v>Filtro caveira simples</c:v>
                  </c:pt>
                  <c:pt idx="203">
                    <c:v>Alavanca 38cm</c:v>
                  </c:pt>
                  <c:pt idx="204">
                    <c:v>Alavanca 42cm</c:v>
                  </c:pt>
                  <c:pt idx="205">
                    <c:v>Alavanca original</c:v>
                  </c:pt>
                  <c:pt idx="206">
                    <c:v>Alavanca bege</c:v>
                  </c:pt>
                  <c:pt idx="207">
                    <c:v>Cx ferramenta hazet 5furos</c:v>
                  </c:pt>
                  <c:pt idx="208">
                    <c:v>Cx ferramenta hazet 4furos</c:v>
                  </c:pt>
                  <c:pt idx="209">
                    <c:v>Capa freio de mão cromada</c:v>
                  </c:pt>
                  <c:pt idx="210">
                    <c:v>Capa de pedal até 1975</c:v>
                  </c:pt>
                  <c:pt idx="211">
                    <c:v>Saboneteira maçaneta alumínio</c:v>
                  </c:pt>
                  <c:pt idx="212">
                    <c:v>Espelho int. maçaneta alumínio</c:v>
                  </c:pt>
                  <c:pt idx="213">
                    <c:v>Gravatinha alumínio</c:v>
                  </c:pt>
                  <c:pt idx="214">
                    <c:v>Pestana farol alumínio</c:v>
                  </c:pt>
                  <c:pt idx="215">
                    <c:v>Polaina dianteira alumínio</c:v>
                  </c:pt>
                  <c:pt idx="216">
                    <c:v>Polaina traseira alumínio</c:v>
                  </c:pt>
                  <c:pt idx="217">
                    <c:v>Reforço dianteiro alumínio</c:v>
                  </c:pt>
                  <c:pt idx="218">
                    <c:v>Reforço traseiro alumínio</c:v>
                  </c:pt>
                  <c:pt idx="219">
                    <c:v>Estribinho fusca alumínio</c:v>
                  </c:pt>
                  <c:pt idx="220">
                    <c:v>Estribinho de brasília alumínio</c:v>
                  </c:pt>
                  <c:pt idx="221">
                    <c:v>Presilha de calotas</c:v>
                  </c:pt>
                  <c:pt idx="222">
                    <c:v>Saca calota</c:v>
                  </c:pt>
                  <c:pt idx="223">
                    <c:v>Capa de parafuso</c:v>
                  </c:pt>
                  <c:pt idx="224">
                    <c:v>calha de brasilia CL</c:v>
                  </c:pt>
                  <c:pt idx="225">
                    <c:v>calha de brasilia </c:v>
                  </c:pt>
                </c:lvl>
                <c:lvl>
                  <c:pt idx="0">
                    <c:v>2021000001</c:v>
                  </c:pt>
                  <c:pt idx="1">
                    <c:v>2021000002</c:v>
                  </c:pt>
                  <c:pt idx="2">
                    <c:v>2021000003</c:v>
                  </c:pt>
                  <c:pt idx="3">
                    <c:v>2021000004</c:v>
                  </c:pt>
                  <c:pt idx="4">
                    <c:v>2021000005</c:v>
                  </c:pt>
                  <c:pt idx="5">
                    <c:v>2021000006</c:v>
                  </c:pt>
                  <c:pt idx="6">
                    <c:v>2021000007</c:v>
                  </c:pt>
                  <c:pt idx="7">
                    <c:v>2021000008</c:v>
                  </c:pt>
                  <c:pt idx="8">
                    <c:v>2021000009</c:v>
                  </c:pt>
                  <c:pt idx="9">
                    <c:v>2021000010</c:v>
                  </c:pt>
                  <c:pt idx="10">
                    <c:v>2021000011</c:v>
                  </c:pt>
                  <c:pt idx="11">
                    <c:v>2021000012</c:v>
                  </c:pt>
                  <c:pt idx="12">
                    <c:v>2021000013</c:v>
                  </c:pt>
                  <c:pt idx="13">
                    <c:v>2021000014</c:v>
                  </c:pt>
                  <c:pt idx="14">
                    <c:v>2021000015</c:v>
                  </c:pt>
                  <c:pt idx="15">
                    <c:v>2021000016</c:v>
                  </c:pt>
                  <c:pt idx="16">
                    <c:v>2021000017</c:v>
                  </c:pt>
                  <c:pt idx="17">
                    <c:v>2021000018</c:v>
                  </c:pt>
                  <c:pt idx="18">
                    <c:v>2021000019</c:v>
                  </c:pt>
                  <c:pt idx="19">
                    <c:v>2021000020</c:v>
                  </c:pt>
                  <c:pt idx="20">
                    <c:v>2021000021</c:v>
                  </c:pt>
                  <c:pt idx="21">
                    <c:v>2021000022</c:v>
                  </c:pt>
                  <c:pt idx="22">
                    <c:v>2021000023</c:v>
                  </c:pt>
                  <c:pt idx="23">
                    <c:v>2021000024</c:v>
                  </c:pt>
                  <c:pt idx="24">
                    <c:v>2021000025</c:v>
                  </c:pt>
                  <c:pt idx="25">
                    <c:v>2021000026</c:v>
                  </c:pt>
                  <c:pt idx="26">
                    <c:v>2021000027</c:v>
                  </c:pt>
                  <c:pt idx="27">
                    <c:v>2021000028</c:v>
                  </c:pt>
                  <c:pt idx="28">
                    <c:v>2021000029</c:v>
                  </c:pt>
                  <c:pt idx="29">
                    <c:v>2021000030</c:v>
                  </c:pt>
                  <c:pt idx="30">
                    <c:v>2021000031</c:v>
                  </c:pt>
                  <c:pt idx="31">
                    <c:v>2021000032</c:v>
                  </c:pt>
                  <c:pt idx="32">
                    <c:v>2021000033</c:v>
                  </c:pt>
                  <c:pt idx="33">
                    <c:v>2021000034</c:v>
                  </c:pt>
                  <c:pt idx="34">
                    <c:v>2021000035</c:v>
                  </c:pt>
                  <c:pt idx="35">
                    <c:v>2021000036</c:v>
                  </c:pt>
                  <c:pt idx="36">
                    <c:v>2021000037</c:v>
                  </c:pt>
                  <c:pt idx="37">
                    <c:v>2021000038</c:v>
                  </c:pt>
                  <c:pt idx="38">
                    <c:v>2021000039</c:v>
                  </c:pt>
                  <c:pt idx="39">
                    <c:v>2021000040</c:v>
                  </c:pt>
                  <c:pt idx="40">
                    <c:v>2021000041</c:v>
                  </c:pt>
                  <c:pt idx="41">
                    <c:v>2021000042</c:v>
                  </c:pt>
                  <c:pt idx="42">
                    <c:v>2021000043</c:v>
                  </c:pt>
                  <c:pt idx="43">
                    <c:v>2021000044</c:v>
                  </c:pt>
                  <c:pt idx="44">
                    <c:v>2021000045</c:v>
                  </c:pt>
                  <c:pt idx="45">
                    <c:v>2021000046</c:v>
                  </c:pt>
                  <c:pt idx="46">
                    <c:v>2021000047</c:v>
                  </c:pt>
                  <c:pt idx="47">
                    <c:v>2021000048</c:v>
                  </c:pt>
                  <c:pt idx="48">
                    <c:v>2021000049</c:v>
                  </c:pt>
                  <c:pt idx="49">
                    <c:v>2021000050</c:v>
                  </c:pt>
                  <c:pt idx="50">
                    <c:v>2021000051</c:v>
                  </c:pt>
                  <c:pt idx="51">
                    <c:v>2021000052</c:v>
                  </c:pt>
                  <c:pt idx="52">
                    <c:v>2021000053</c:v>
                  </c:pt>
                  <c:pt idx="53">
                    <c:v>2021000054</c:v>
                  </c:pt>
                  <c:pt idx="54">
                    <c:v>2021000055</c:v>
                  </c:pt>
                  <c:pt idx="55">
                    <c:v>2021000056</c:v>
                  </c:pt>
                  <c:pt idx="56">
                    <c:v>2021000057</c:v>
                  </c:pt>
                  <c:pt idx="57">
                    <c:v>2021000058</c:v>
                  </c:pt>
                  <c:pt idx="58">
                    <c:v>2021000059</c:v>
                  </c:pt>
                  <c:pt idx="59">
                    <c:v>2021000060</c:v>
                  </c:pt>
                  <c:pt idx="60">
                    <c:v>2021000061</c:v>
                  </c:pt>
                  <c:pt idx="61">
                    <c:v>2021000062</c:v>
                  </c:pt>
                  <c:pt idx="62">
                    <c:v>2021000063</c:v>
                  </c:pt>
                  <c:pt idx="63">
                    <c:v>2021000064</c:v>
                  </c:pt>
                  <c:pt idx="64">
                    <c:v>2021000065</c:v>
                  </c:pt>
                  <c:pt idx="65">
                    <c:v>2021000066</c:v>
                  </c:pt>
                  <c:pt idx="66">
                    <c:v>2021000067</c:v>
                  </c:pt>
                  <c:pt idx="67">
                    <c:v>2021000068</c:v>
                  </c:pt>
                  <c:pt idx="68">
                    <c:v>2021000069</c:v>
                  </c:pt>
                  <c:pt idx="69">
                    <c:v>2021000070</c:v>
                  </c:pt>
                  <c:pt idx="70">
                    <c:v>2021000071</c:v>
                  </c:pt>
                  <c:pt idx="71">
                    <c:v>2021000072</c:v>
                  </c:pt>
                  <c:pt idx="72">
                    <c:v>2021000073</c:v>
                  </c:pt>
                  <c:pt idx="73">
                    <c:v>2021000074</c:v>
                  </c:pt>
                  <c:pt idx="74">
                    <c:v>2021000075</c:v>
                  </c:pt>
                  <c:pt idx="75">
                    <c:v>2021000076</c:v>
                  </c:pt>
                  <c:pt idx="76">
                    <c:v>2021000077</c:v>
                  </c:pt>
                  <c:pt idx="77">
                    <c:v>2021000078</c:v>
                  </c:pt>
                  <c:pt idx="78">
                    <c:v>2021000079</c:v>
                  </c:pt>
                  <c:pt idx="79">
                    <c:v>2021000080</c:v>
                  </c:pt>
                  <c:pt idx="80">
                    <c:v>2021000081</c:v>
                  </c:pt>
                  <c:pt idx="81">
                    <c:v>2021000082</c:v>
                  </c:pt>
                  <c:pt idx="82">
                    <c:v>2021000083</c:v>
                  </c:pt>
                  <c:pt idx="83">
                    <c:v>2021000084</c:v>
                  </c:pt>
                  <c:pt idx="84">
                    <c:v>2021000085</c:v>
                  </c:pt>
                  <c:pt idx="85">
                    <c:v>2021000086</c:v>
                  </c:pt>
                  <c:pt idx="86">
                    <c:v>2021000087</c:v>
                  </c:pt>
                  <c:pt idx="87">
                    <c:v>2021000088</c:v>
                  </c:pt>
                  <c:pt idx="88">
                    <c:v>2021000089</c:v>
                  </c:pt>
                  <c:pt idx="89">
                    <c:v>2021000090</c:v>
                  </c:pt>
                  <c:pt idx="90">
                    <c:v>2021000091</c:v>
                  </c:pt>
                  <c:pt idx="91">
                    <c:v>2021000092</c:v>
                  </c:pt>
                  <c:pt idx="92">
                    <c:v>2021000093</c:v>
                  </c:pt>
                  <c:pt idx="93">
                    <c:v>2021000094</c:v>
                  </c:pt>
                  <c:pt idx="94">
                    <c:v>2021000095</c:v>
                  </c:pt>
                  <c:pt idx="95">
                    <c:v>2021000096</c:v>
                  </c:pt>
                  <c:pt idx="96">
                    <c:v>2021000097</c:v>
                  </c:pt>
                  <c:pt idx="97">
                    <c:v>2021000098</c:v>
                  </c:pt>
                  <c:pt idx="98">
                    <c:v>2021000099</c:v>
                  </c:pt>
                  <c:pt idx="99">
                    <c:v>2021000100</c:v>
                  </c:pt>
                  <c:pt idx="100">
                    <c:v>2021000101</c:v>
                  </c:pt>
                  <c:pt idx="101">
                    <c:v>2021000102</c:v>
                  </c:pt>
                  <c:pt idx="102">
                    <c:v>2021000103</c:v>
                  </c:pt>
                  <c:pt idx="103">
                    <c:v>2021000104</c:v>
                  </c:pt>
                  <c:pt idx="104">
                    <c:v>2021000105</c:v>
                  </c:pt>
                  <c:pt idx="105">
                    <c:v>2021000106</c:v>
                  </c:pt>
                  <c:pt idx="106">
                    <c:v>2021000107</c:v>
                  </c:pt>
                  <c:pt idx="107">
                    <c:v>2021000108</c:v>
                  </c:pt>
                  <c:pt idx="108">
                    <c:v>2021000109</c:v>
                  </c:pt>
                  <c:pt idx="109">
                    <c:v>2021000110</c:v>
                  </c:pt>
                  <c:pt idx="110">
                    <c:v>2021000111</c:v>
                  </c:pt>
                  <c:pt idx="111">
                    <c:v>2021000112</c:v>
                  </c:pt>
                  <c:pt idx="112">
                    <c:v>2021000113</c:v>
                  </c:pt>
                  <c:pt idx="113">
                    <c:v>2021000114</c:v>
                  </c:pt>
                  <c:pt idx="114">
                    <c:v>2021000115</c:v>
                  </c:pt>
                  <c:pt idx="115">
                    <c:v>2021000116</c:v>
                  </c:pt>
                  <c:pt idx="116">
                    <c:v>2021000117</c:v>
                  </c:pt>
                  <c:pt idx="117">
                    <c:v>2021000118</c:v>
                  </c:pt>
                  <c:pt idx="118">
                    <c:v>2021000119</c:v>
                  </c:pt>
                  <c:pt idx="119">
                    <c:v>2021000120</c:v>
                  </c:pt>
                  <c:pt idx="120">
                    <c:v>2021000121</c:v>
                  </c:pt>
                  <c:pt idx="121">
                    <c:v>2021000122</c:v>
                  </c:pt>
                  <c:pt idx="122">
                    <c:v>2021000123</c:v>
                  </c:pt>
                  <c:pt idx="123">
                    <c:v>2021000124</c:v>
                  </c:pt>
                  <c:pt idx="124">
                    <c:v>2021000125</c:v>
                  </c:pt>
                  <c:pt idx="125">
                    <c:v>2021000126</c:v>
                  </c:pt>
                  <c:pt idx="126">
                    <c:v>2021000127</c:v>
                  </c:pt>
                  <c:pt idx="127">
                    <c:v>2021000128</c:v>
                  </c:pt>
                  <c:pt idx="128">
                    <c:v>2021000129</c:v>
                  </c:pt>
                  <c:pt idx="129">
                    <c:v>2021000130</c:v>
                  </c:pt>
                  <c:pt idx="130">
                    <c:v>2021000131</c:v>
                  </c:pt>
                  <c:pt idx="131">
                    <c:v>2021000132</c:v>
                  </c:pt>
                  <c:pt idx="132">
                    <c:v>2021000133</c:v>
                  </c:pt>
                  <c:pt idx="133">
                    <c:v>2021000134</c:v>
                  </c:pt>
                  <c:pt idx="134">
                    <c:v>2021000135</c:v>
                  </c:pt>
                  <c:pt idx="135">
                    <c:v>2021000136</c:v>
                  </c:pt>
                  <c:pt idx="136">
                    <c:v>2021000137</c:v>
                  </c:pt>
                  <c:pt idx="137">
                    <c:v>2021000138</c:v>
                  </c:pt>
                  <c:pt idx="138">
                    <c:v>2021000139</c:v>
                  </c:pt>
                  <c:pt idx="139">
                    <c:v>2021000140</c:v>
                  </c:pt>
                  <c:pt idx="140">
                    <c:v>2021000141</c:v>
                  </c:pt>
                  <c:pt idx="141">
                    <c:v>2021000142</c:v>
                  </c:pt>
                  <c:pt idx="142">
                    <c:v>2021000143</c:v>
                  </c:pt>
                  <c:pt idx="143">
                    <c:v>2021000144</c:v>
                  </c:pt>
                  <c:pt idx="144">
                    <c:v>2021000145</c:v>
                  </c:pt>
                  <c:pt idx="145">
                    <c:v>2021000146</c:v>
                  </c:pt>
                  <c:pt idx="146">
                    <c:v>2021000147</c:v>
                  </c:pt>
                  <c:pt idx="147">
                    <c:v>2021000148</c:v>
                  </c:pt>
                  <c:pt idx="148">
                    <c:v>2021000149</c:v>
                  </c:pt>
                  <c:pt idx="149">
                    <c:v>2021000150</c:v>
                  </c:pt>
                  <c:pt idx="150">
                    <c:v>2021000151</c:v>
                  </c:pt>
                  <c:pt idx="151">
                    <c:v>2021000152</c:v>
                  </c:pt>
                  <c:pt idx="152">
                    <c:v>2021000153</c:v>
                  </c:pt>
                  <c:pt idx="153">
                    <c:v>2021000154</c:v>
                  </c:pt>
                  <c:pt idx="154">
                    <c:v>2021000155</c:v>
                  </c:pt>
                  <c:pt idx="155">
                    <c:v>2021000156</c:v>
                  </c:pt>
                  <c:pt idx="156">
                    <c:v>2021000157</c:v>
                  </c:pt>
                  <c:pt idx="157">
                    <c:v>2021000158</c:v>
                  </c:pt>
                  <c:pt idx="158">
                    <c:v>2021000159</c:v>
                  </c:pt>
                  <c:pt idx="159">
                    <c:v>2021000160</c:v>
                  </c:pt>
                  <c:pt idx="160">
                    <c:v>2021000161</c:v>
                  </c:pt>
                  <c:pt idx="161">
                    <c:v>2021000162</c:v>
                  </c:pt>
                  <c:pt idx="162">
                    <c:v>2021000163</c:v>
                  </c:pt>
                  <c:pt idx="163">
                    <c:v>2021000165</c:v>
                  </c:pt>
                  <c:pt idx="164">
                    <c:v>2021000166</c:v>
                  </c:pt>
                  <c:pt idx="165">
                    <c:v>2021000167</c:v>
                  </c:pt>
                  <c:pt idx="166">
                    <c:v>2021000168</c:v>
                  </c:pt>
                  <c:pt idx="167">
                    <c:v>2021000169</c:v>
                  </c:pt>
                  <c:pt idx="168">
                    <c:v>2021000170</c:v>
                  </c:pt>
                  <c:pt idx="169">
                    <c:v>2021000171</c:v>
                  </c:pt>
                  <c:pt idx="170">
                    <c:v>2021000172</c:v>
                  </c:pt>
                  <c:pt idx="171">
                    <c:v>2021000173</c:v>
                  </c:pt>
                  <c:pt idx="172">
                    <c:v>2021000174</c:v>
                  </c:pt>
                  <c:pt idx="173">
                    <c:v>2021000175</c:v>
                  </c:pt>
                  <c:pt idx="174">
                    <c:v>2021000176</c:v>
                  </c:pt>
                  <c:pt idx="175">
                    <c:v>2021000177</c:v>
                  </c:pt>
                  <c:pt idx="176">
                    <c:v>2021000178</c:v>
                  </c:pt>
                  <c:pt idx="177">
                    <c:v>2021000179</c:v>
                  </c:pt>
                  <c:pt idx="178">
                    <c:v>2021000180</c:v>
                  </c:pt>
                  <c:pt idx="179">
                    <c:v>2021000181</c:v>
                  </c:pt>
                  <c:pt idx="180">
                    <c:v>2021000182</c:v>
                  </c:pt>
                  <c:pt idx="181">
                    <c:v>2021000183</c:v>
                  </c:pt>
                  <c:pt idx="182">
                    <c:v>2021000184</c:v>
                  </c:pt>
                  <c:pt idx="183">
                    <c:v>2021000185</c:v>
                  </c:pt>
                  <c:pt idx="184">
                    <c:v>2021000186</c:v>
                  </c:pt>
                  <c:pt idx="185">
                    <c:v>2021000187</c:v>
                  </c:pt>
                  <c:pt idx="186">
                    <c:v>2021000188</c:v>
                  </c:pt>
                  <c:pt idx="187">
                    <c:v>2021000189</c:v>
                  </c:pt>
                  <c:pt idx="188">
                    <c:v>2021000190</c:v>
                  </c:pt>
                  <c:pt idx="189">
                    <c:v>2021000191</c:v>
                  </c:pt>
                  <c:pt idx="190">
                    <c:v>2021000192</c:v>
                  </c:pt>
                  <c:pt idx="191">
                    <c:v>2021000193</c:v>
                  </c:pt>
                  <c:pt idx="192">
                    <c:v>2021000194</c:v>
                  </c:pt>
                  <c:pt idx="193">
                    <c:v>2021000195</c:v>
                  </c:pt>
                  <c:pt idx="194">
                    <c:v>2021000196</c:v>
                  </c:pt>
                  <c:pt idx="195">
                    <c:v>2021000197</c:v>
                  </c:pt>
                  <c:pt idx="196">
                    <c:v>2021000198</c:v>
                  </c:pt>
                  <c:pt idx="197">
                    <c:v>2021000199</c:v>
                  </c:pt>
                  <c:pt idx="198">
                    <c:v>2021000200</c:v>
                  </c:pt>
                  <c:pt idx="199">
                    <c:v>2021000201</c:v>
                  </c:pt>
                  <c:pt idx="200">
                    <c:v>2021000202</c:v>
                  </c:pt>
                  <c:pt idx="201">
                    <c:v>2021000203</c:v>
                  </c:pt>
                  <c:pt idx="202">
                    <c:v>2021000204</c:v>
                  </c:pt>
                  <c:pt idx="203">
                    <c:v>2021000205</c:v>
                  </c:pt>
                  <c:pt idx="204">
                    <c:v>2021000206</c:v>
                  </c:pt>
                  <c:pt idx="205">
                    <c:v>2021000207</c:v>
                  </c:pt>
                  <c:pt idx="206">
                    <c:v>2021000208</c:v>
                  </c:pt>
                  <c:pt idx="207">
                    <c:v>2021000209</c:v>
                  </c:pt>
                  <c:pt idx="208">
                    <c:v>2021000210</c:v>
                  </c:pt>
                  <c:pt idx="209">
                    <c:v>2021000211</c:v>
                  </c:pt>
                  <c:pt idx="210">
                    <c:v>2021000212</c:v>
                  </c:pt>
                  <c:pt idx="211">
                    <c:v>2021000213</c:v>
                  </c:pt>
                  <c:pt idx="212">
                    <c:v>2021000214</c:v>
                  </c:pt>
                  <c:pt idx="213">
                    <c:v>2021000215</c:v>
                  </c:pt>
                  <c:pt idx="214">
                    <c:v>2021000216</c:v>
                  </c:pt>
                  <c:pt idx="215">
                    <c:v>2021000217</c:v>
                  </c:pt>
                  <c:pt idx="216">
                    <c:v>2021000218</c:v>
                  </c:pt>
                  <c:pt idx="217">
                    <c:v>2021000219</c:v>
                  </c:pt>
                  <c:pt idx="218">
                    <c:v>2021000220</c:v>
                  </c:pt>
                  <c:pt idx="219">
                    <c:v>2021000221</c:v>
                  </c:pt>
                  <c:pt idx="220">
                    <c:v>2021000222</c:v>
                  </c:pt>
                  <c:pt idx="221">
                    <c:v>2021000223</c:v>
                  </c:pt>
                  <c:pt idx="222">
                    <c:v>2021000224</c:v>
                  </c:pt>
                  <c:pt idx="223">
                    <c:v>2021000225</c:v>
                  </c:pt>
                  <c:pt idx="224">
                    <c:v>2021000226</c:v>
                  </c:pt>
                  <c:pt idx="225">
                    <c:v>2021000227</c:v>
                  </c:pt>
                </c:lvl>
              </c:multiLvlStrCache>
            </c:multiLvlStrRef>
          </c:cat>
          <c:val>
            <c:numRef>
              <c:f>Estoque!$C$2:$C$227</c:f>
              <c:numCache>
                <c:formatCode>General</c:formatCode>
                <c:ptCount val="226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6</c:v>
                </c:pt>
                <c:pt idx="11">
                  <c:v>4</c:v>
                </c:pt>
                <c:pt idx="12">
                  <c:v>8</c:v>
                </c:pt>
                <c:pt idx="13">
                  <c:v>9</c:v>
                </c:pt>
                <c:pt idx="14">
                  <c:v>15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4</c:v>
                </c:pt>
                <c:pt idx="19">
                  <c:v>10</c:v>
                </c:pt>
                <c:pt idx="20">
                  <c:v>7</c:v>
                </c:pt>
                <c:pt idx="21">
                  <c:v>6</c:v>
                </c:pt>
                <c:pt idx="22">
                  <c:v>0</c:v>
                </c:pt>
                <c:pt idx="23">
                  <c:v>2</c:v>
                </c:pt>
                <c:pt idx="24">
                  <c:v>3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7</c:v>
                </c:pt>
                <c:pt idx="30">
                  <c:v>4</c:v>
                </c:pt>
                <c:pt idx="31">
                  <c:v>7</c:v>
                </c:pt>
                <c:pt idx="32">
                  <c:v>5</c:v>
                </c:pt>
                <c:pt idx="33">
                  <c:v>24</c:v>
                </c:pt>
                <c:pt idx="34">
                  <c:v>7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1</c:v>
                </c:pt>
                <c:pt idx="41">
                  <c:v>0</c:v>
                </c:pt>
                <c:pt idx="42">
                  <c:v>9</c:v>
                </c:pt>
                <c:pt idx="43">
                  <c:v>0</c:v>
                </c:pt>
                <c:pt idx="44">
                  <c:v>9</c:v>
                </c:pt>
                <c:pt idx="45">
                  <c:v>0</c:v>
                </c:pt>
                <c:pt idx="46">
                  <c:v>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15</c:v>
                </c:pt>
                <c:pt idx="51">
                  <c:v>3</c:v>
                </c:pt>
                <c:pt idx="52">
                  <c:v>0</c:v>
                </c:pt>
                <c:pt idx="53">
                  <c:v>9</c:v>
                </c:pt>
                <c:pt idx="54">
                  <c:v>3</c:v>
                </c:pt>
                <c:pt idx="55">
                  <c:v>0</c:v>
                </c:pt>
                <c:pt idx="56">
                  <c:v>5</c:v>
                </c:pt>
                <c:pt idx="57">
                  <c:v>4</c:v>
                </c:pt>
                <c:pt idx="58">
                  <c:v>2</c:v>
                </c:pt>
                <c:pt idx="59">
                  <c:v>0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0</c:v>
                </c:pt>
                <c:pt idx="64">
                  <c:v>3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6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19</c:v>
                </c:pt>
                <c:pt idx="78">
                  <c:v>0</c:v>
                </c:pt>
                <c:pt idx="79">
                  <c:v>38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7</c:v>
                </c:pt>
                <c:pt idx="84">
                  <c:v>0</c:v>
                </c:pt>
                <c:pt idx="85">
                  <c:v>5</c:v>
                </c:pt>
                <c:pt idx="86">
                  <c:v>8</c:v>
                </c:pt>
                <c:pt idx="87">
                  <c:v>9</c:v>
                </c:pt>
                <c:pt idx="88">
                  <c:v>30</c:v>
                </c:pt>
                <c:pt idx="89">
                  <c:v>29</c:v>
                </c:pt>
                <c:pt idx="90">
                  <c:v>6</c:v>
                </c:pt>
                <c:pt idx="91">
                  <c:v>6</c:v>
                </c:pt>
                <c:pt idx="92">
                  <c:v>7</c:v>
                </c:pt>
                <c:pt idx="93">
                  <c:v>14</c:v>
                </c:pt>
                <c:pt idx="94">
                  <c:v>7</c:v>
                </c:pt>
                <c:pt idx="95">
                  <c:v>6</c:v>
                </c:pt>
                <c:pt idx="96">
                  <c:v>10</c:v>
                </c:pt>
                <c:pt idx="97">
                  <c:v>11</c:v>
                </c:pt>
                <c:pt idx="98">
                  <c:v>7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8</c:v>
                </c:pt>
                <c:pt idx="103">
                  <c:v>1</c:v>
                </c:pt>
                <c:pt idx="104">
                  <c:v>9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11</c:v>
                </c:pt>
                <c:pt idx="117">
                  <c:v>7</c:v>
                </c:pt>
                <c:pt idx="118">
                  <c:v>5</c:v>
                </c:pt>
                <c:pt idx="119">
                  <c:v>12</c:v>
                </c:pt>
                <c:pt idx="120">
                  <c:v>2</c:v>
                </c:pt>
                <c:pt idx="121">
                  <c:v>11</c:v>
                </c:pt>
                <c:pt idx="122">
                  <c:v>8</c:v>
                </c:pt>
                <c:pt idx="123">
                  <c:v>5</c:v>
                </c:pt>
                <c:pt idx="124">
                  <c:v>6</c:v>
                </c:pt>
                <c:pt idx="125">
                  <c:v>3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11</c:v>
                </c:pt>
                <c:pt idx="130">
                  <c:v>10</c:v>
                </c:pt>
                <c:pt idx="131">
                  <c:v>0</c:v>
                </c:pt>
                <c:pt idx="132">
                  <c:v>5</c:v>
                </c:pt>
                <c:pt idx="133">
                  <c:v>0</c:v>
                </c:pt>
                <c:pt idx="134">
                  <c:v>5</c:v>
                </c:pt>
                <c:pt idx="135">
                  <c:v>4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3</c:v>
                </c:pt>
                <c:pt idx="144">
                  <c:v>6</c:v>
                </c:pt>
                <c:pt idx="145">
                  <c:v>1</c:v>
                </c:pt>
                <c:pt idx="146">
                  <c:v>2</c:v>
                </c:pt>
                <c:pt idx="147">
                  <c:v>0</c:v>
                </c:pt>
                <c:pt idx="148">
                  <c:v>5</c:v>
                </c:pt>
                <c:pt idx="149">
                  <c:v>3</c:v>
                </c:pt>
                <c:pt idx="150">
                  <c:v>10</c:v>
                </c:pt>
                <c:pt idx="151">
                  <c:v>6</c:v>
                </c:pt>
                <c:pt idx="152">
                  <c:v>6</c:v>
                </c:pt>
                <c:pt idx="153">
                  <c:v>3</c:v>
                </c:pt>
                <c:pt idx="154">
                  <c:v>4</c:v>
                </c:pt>
                <c:pt idx="155">
                  <c:v>2</c:v>
                </c:pt>
                <c:pt idx="156">
                  <c:v>23</c:v>
                </c:pt>
                <c:pt idx="157">
                  <c:v>1</c:v>
                </c:pt>
                <c:pt idx="158">
                  <c:v>13</c:v>
                </c:pt>
                <c:pt idx="159">
                  <c:v>3</c:v>
                </c:pt>
                <c:pt idx="160">
                  <c:v>26</c:v>
                </c:pt>
                <c:pt idx="161">
                  <c:v>0</c:v>
                </c:pt>
                <c:pt idx="162">
                  <c:v>4</c:v>
                </c:pt>
                <c:pt idx="163">
                  <c:v>5</c:v>
                </c:pt>
                <c:pt idx="164">
                  <c:v>8</c:v>
                </c:pt>
                <c:pt idx="165">
                  <c:v>4</c:v>
                </c:pt>
                <c:pt idx="166">
                  <c:v>4</c:v>
                </c:pt>
                <c:pt idx="167">
                  <c:v>0</c:v>
                </c:pt>
                <c:pt idx="168">
                  <c:v>5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13</c:v>
                </c:pt>
                <c:pt idx="173">
                  <c:v>12</c:v>
                </c:pt>
                <c:pt idx="174">
                  <c:v>8</c:v>
                </c:pt>
                <c:pt idx="175">
                  <c:v>0</c:v>
                </c:pt>
                <c:pt idx="176">
                  <c:v>5</c:v>
                </c:pt>
                <c:pt idx="177">
                  <c:v>94</c:v>
                </c:pt>
                <c:pt idx="178">
                  <c:v>50</c:v>
                </c:pt>
                <c:pt idx="179">
                  <c:v>54</c:v>
                </c:pt>
                <c:pt idx="180">
                  <c:v>5</c:v>
                </c:pt>
                <c:pt idx="181">
                  <c:v>10</c:v>
                </c:pt>
                <c:pt idx="182">
                  <c:v>1</c:v>
                </c:pt>
                <c:pt idx="183">
                  <c:v>6</c:v>
                </c:pt>
                <c:pt idx="184">
                  <c:v>4</c:v>
                </c:pt>
                <c:pt idx="185">
                  <c:v>0</c:v>
                </c:pt>
                <c:pt idx="186">
                  <c:v>3</c:v>
                </c:pt>
                <c:pt idx="187">
                  <c:v>4</c:v>
                </c:pt>
                <c:pt idx="188">
                  <c:v>12</c:v>
                </c:pt>
                <c:pt idx="189">
                  <c:v>0</c:v>
                </c:pt>
                <c:pt idx="190">
                  <c:v>6</c:v>
                </c:pt>
                <c:pt idx="191">
                  <c:v>2</c:v>
                </c:pt>
                <c:pt idx="192">
                  <c:v>1</c:v>
                </c:pt>
                <c:pt idx="193">
                  <c:v>19</c:v>
                </c:pt>
                <c:pt idx="194">
                  <c:v>1</c:v>
                </c:pt>
                <c:pt idx="195">
                  <c:v>2</c:v>
                </c:pt>
                <c:pt idx="196">
                  <c:v>2</c:v>
                </c:pt>
                <c:pt idx="197">
                  <c:v>0</c:v>
                </c:pt>
                <c:pt idx="198">
                  <c:v>23</c:v>
                </c:pt>
                <c:pt idx="199">
                  <c:v>12</c:v>
                </c:pt>
                <c:pt idx="200">
                  <c:v>1</c:v>
                </c:pt>
                <c:pt idx="201">
                  <c:v>3</c:v>
                </c:pt>
                <c:pt idx="202">
                  <c:v>3</c:v>
                </c:pt>
                <c:pt idx="203">
                  <c:v>6</c:v>
                </c:pt>
                <c:pt idx="204">
                  <c:v>5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2</c:v>
                </c:pt>
                <c:pt idx="209">
                  <c:v>4</c:v>
                </c:pt>
                <c:pt idx="210">
                  <c:v>12</c:v>
                </c:pt>
                <c:pt idx="211">
                  <c:v>2</c:v>
                </c:pt>
                <c:pt idx="212">
                  <c:v>8</c:v>
                </c:pt>
                <c:pt idx="213">
                  <c:v>18</c:v>
                </c:pt>
                <c:pt idx="214">
                  <c:v>7</c:v>
                </c:pt>
                <c:pt idx="215">
                  <c:v>3</c:v>
                </c:pt>
                <c:pt idx="216">
                  <c:v>1</c:v>
                </c:pt>
                <c:pt idx="217">
                  <c:v>3</c:v>
                </c:pt>
                <c:pt idx="218">
                  <c:v>2</c:v>
                </c:pt>
                <c:pt idx="219">
                  <c:v>0</c:v>
                </c:pt>
                <c:pt idx="220">
                  <c:v>0</c:v>
                </c:pt>
                <c:pt idx="221">
                  <c:v>6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C-4055-BE25-15E3D31E8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72896896"/>
        <c:axId val="-772908864"/>
      </c:barChart>
      <c:catAx>
        <c:axId val="-77289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772908864"/>
        <c:crosses val="autoZero"/>
        <c:auto val="1"/>
        <c:lblAlgn val="ctr"/>
        <c:lblOffset val="100"/>
        <c:noMultiLvlLbl val="0"/>
      </c:catAx>
      <c:valAx>
        <c:axId val="-77290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77289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áf1"/>
  <sheetViews>
    <sheetView zoomScale="116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ico1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457199</xdr:colOff>
      <xdr:row>0</xdr:row>
      <xdr:rowOff>0</xdr:rowOff>
    </xdr:from>
    <xdr:to>
      <xdr:col>22</xdr:col>
      <xdr:colOff>295274</xdr:colOff>
      <xdr:row>67</xdr:row>
      <xdr:rowOff>161924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3141C33-A28B-496C-BDF1-D6824B946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199" y="0"/>
          <a:ext cx="13249275" cy="12925424"/>
        </a:xfrm>
        <a:prstGeom prst="rect">
          <a:avLst/>
        </a:prstGeom>
      </xdr:spPr>
    </xdr:pic>
    <xdr:clientData/>
  </xdr:twoCellAnchor>
  <xdr:twoCellAnchor>
    <xdr:from>
      <xdr:col>9</xdr:col>
      <xdr:colOff>466725</xdr:colOff>
      <xdr:row>24</xdr:row>
      <xdr:rowOff>95250</xdr:rowOff>
    </xdr:from>
    <xdr:to>
      <xdr:col>13</xdr:col>
      <xdr:colOff>85725</xdr:colOff>
      <xdr:row>32</xdr:row>
      <xdr:rowOff>85725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D930B8F6-1567-4A77-8804-1BD922F8093F}"/>
            </a:ext>
          </a:extLst>
        </xdr:cNvPr>
        <xdr:cNvSpPr/>
      </xdr:nvSpPr>
      <xdr:spPr>
        <a:xfrm>
          <a:off x="5953125" y="4667250"/>
          <a:ext cx="2057400" cy="1514475"/>
        </a:xfrm>
        <a:prstGeom prst="ellipse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190499</xdr:colOff>
      <xdr:row>21</xdr:row>
      <xdr:rowOff>133349</xdr:rowOff>
    </xdr:from>
    <xdr:to>
      <xdr:col>7</xdr:col>
      <xdr:colOff>381000</xdr:colOff>
      <xdr:row>25</xdr:row>
      <xdr:rowOff>0</xdr:rowOff>
    </xdr:to>
    <xdr:sp macro="[0]!iniciar" textlink="">
      <xdr:nvSpPr>
        <xdr:cNvPr id="5" name="CaixaDeTexto 4">
          <a:extLst>
            <a:ext uri="{FF2B5EF4-FFF2-40B4-BE49-F238E27FC236}">
              <a16:creationId xmlns:a16="http://schemas.microsoft.com/office/drawing/2014/main" id="{0E18651B-2AED-4CF3-BC1F-E21317B1710C}"/>
            </a:ext>
          </a:extLst>
        </xdr:cNvPr>
        <xdr:cNvSpPr txBox="1"/>
      </xdr:nvSpPr>
      <xdr:spPr>
        <a:xfrm>
          <a:off x="2628899" y="4133849"/>
          <a:ext cx="2019301" cy="62865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0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Algerian" panose="04020705040A02060702" pitchFamily="82" charset="0"/>
            </a:rPr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35558" cy="600415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1C9406-D2B3-4D63-8C29-CD3F88CD588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"/>
  <sheetViews>
    <sheetView topLeftCell="B22" workbookViewId="0">
      <selection activeCell="B2" sqref="B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/>
  <dimension ref="A1:B2"/>
  <sheetViews>
    <sheetView workbookViewId="0">
      <selection activeCell="B2" sqref="B2"/>
    </sheetView>
  </sheetViews>
  <sheetFormatPr defaultRowHeight="14.4" x14ac:dyDescent="0.3"/>
  <cols>
    <col min="1" max="1" width="14.33203125" bestFit="1" customWidth="1"/>
    <col min="2" max="2" width="11.5546875" customWidth="1"/>
  </cols>
  <sheetData>
    <row r="1" spans="1:2" x14ac:dyDescent="0.3">
      <c r="A1" s="7" t="s">
        <v>16</v>
      </c>
      <c r="B1" t="s">
        <v>6</v>
      </c>
    </row>
    <row r="2" spans="1:2" x14ac:dyDescent="0.3">
      <c r="A2" s="6" t="s">
        <v>7</v>
      </c>
      <c r="B2" s="16" t="s">
        <v>241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E315"/>
  <sheetViews>
    <sheetView topLeftCell="A55" workbookViewId="0">
      <selection activeCell="D77" sqref="D77"/>
    </sheetView>
  </sheetViews>
  <sheetFormatPr defaultRowHeight="14.4" x14ac:dyDescent="0.3"/>
  <cols>
    <col min="1" max="1" width="17.6640625" style="2" bestFit="1" customWidth="1"/>
    <col min="2" max="2" width="27" customWidth="1"/>
    <col min="3" max="3" width="12.33203125" style="3" customWidth="1"/>
    <col min="4" max="4" width="14.5546875" style="4" customWidth="1"/>
    <col min="5" max="5" width="10.109375" style="5" customWidth="1"/>
  </cols>
  <sheetData>
    <row r="1" spans="1:5" x14ac:dyDescent="0.3">
      <c r="A1" t="s">
        <v>0</v>
      </c>
      <c r="B1" t="s">
        <v>1</v>
      </c>
      <c r="C1" t="s">
        <v>10</v>
      </c>
      <c r="D1" t="s">
        <v>2</v>
      </c>
      <c r="E1" t="s">
        <v>14</v>
      </c>
    </row>
    <row r="2" spans="1:5" x14ac:dyDescent="0.3">
      <c r="A2" s="2">
        <v>2021000001</v>
      </c>
      <c r="B2" t="s">
        <v>19</v>
      </c>
      <c r="C2" s="5">
        <v>30</v>
      </c>
      <c r="D2" s="4">
        <v>55</v>
      </c>
      <c r="E2" s="5">
        <v>25</v>
      </c>
    </row>
    <row r="3" spans="1:5" x14ac:dyDescent="0.3">
      <c r="A3" s="2">
        <v>2021000002</v>
      </c>
      <c r="B3" t="s">
        <v>29</v>
      </c>
      <c r="C3" s="5">
        <v>30</v>
      </c>
      <c r="D3" s="4">
        <v>55</v>
      </c>
      <c r="E3" s="5">
        <v>25</v>
      </c>
    </row>
    <row r="4" spans="1:5" x14ac:dyDescent="0.3">
      <c r="A4" s="2">
        <v>2021000003</v>
      </c>
      <c r="B4" t="s">
        <v>20</v>
      </c>
      <c r="C4" s="5">
        <v>40</v>
      </c>
      <c r="D4" s="4">
        <v>75</v>
      </c>
      <c r="E4" s="5">
        <v>35</v>
      </c>
    </row>
    <row r="5" spans="1:5" x14ac:dyDescent="0.3">
      <c r="A5" s="2">
        <v>2021000004</v>
      </c>
      <c r="B5" t="s">
        <v>30</v>
      </c>
      <c r="C5" s="5">
        <v>40</v>
      </c>
      <c r="D5" s="4">
        <v>75</v>
      </c>
      <c r="E5" s="5">
        <v>35</v>
      </c>
    </row>
    <row r="6" spans="1:5" x14ac:dyDescent="0.3">
      <c r="A6" s="2">
        <v>2021000005</v>
      </c>
      <c r="B6" t="s">
        <v>25</v>
      </c>
      <c r="C6" s="5">
        <v>16</v>
      </c>
      <c r="D6" s="4">
        <v>35</v>
      </c>
      <c r="E6" s="5">
        <v>19</v>
      </c>
    </row>
    <row r="7" spans="1:5" x14ac:dyDescent="0.3">
      <c r="A7" s="2">
        <v>2021000006</v>
      </c>
      <c r="B7" t="s">
        <v>26</v>
      </c>
      <c r="C7" s="5">
        <v>16</v>
      </c>
      <c r="D7" s="4">
        <v>35</v>
      </c>
      <c r="E7" s="5">
        <v>19</v>
      </c>
    </row>
    <row r="8" spans="1:5" x14ac:dyDescent="0.3">
      <c r="A8" s="2">
        <v>2021000007</v>
      </c>
      <c r="B8" t="s">
        <v>21</v>
      </c>
      <c r="C8" s="5">
        <v>55</v>
      </c>
      <c r="D8" s="4">
        <v>110</v>
      </c>
      <c r="E8" s="5">
        <v>55</v>
      </c>
    </row>
    <row r="9" spans="1:5" x14ac:dyDescent="0.3">
      <c r="A9" s="2">
        <v>2021000008</v>
      </c>
      <c r="B9" t="s">
        <v>22</v>
      </c>
      <c r="C9" s="5">
        <v>55</v>
      </c>
      <c r="D9" s="4">
        <v>110</v>
      </c>
      <c r="E9" s="5">
        <v>55</v>
      </c>
    </row>
    <row r="10" spans="1:5" x14ac:dyDescent="0.3">
      <c r="A10" s="2">
        <v>2021000009</v>
      </c>
      <c r="B10" t="s">
        <v>23</v>
      </c>
      <c r="C10" s="5">
        <v>28.1</v>
      </c>
      <c r="D10" s="4">
        <v>60</v>
      </c>
      <c r="E10" s="5">
        <v>31.9</v>
      </c>
    </row>
    <row r="11" spans="1:5" x14ac:dyDescent="0.3">
      <c r="A11" s="2">
        <v>2021000010</v>
      </c>
      <c r="B11" t="s">
        <v>24</v>
      </c>
      <c r="C11" s="5">
        <v>9.8000000000000007</v>
      </c>
      <c r="D11" s="4">
        <v>35</v>
      </c>
      <c r="E11" s="5">
        <v>25.2</v>
      </c>
    </row>
    <row r="12" spans="1:5" x14ac:dyDescent="0.3">
      <c r="A12" s="2">
        <v>2021000011</v>
      </c>
      <c r="B12" t="s">
        <v>27</v>
      </c>
      <c r="C12" s="3">
        <v>10.78</v>
      </c>
      <c r="D12" s="4">
        <v>35</v>
      </c>
      <c r="E12" s="5">
        <v>24.22</v>
      </c>
    </row>
    <row r="13" spans="1:5" x14ac:dyDescent="0.3">
      <c r="A13" s="2">
        <v>2021000012</v>
      </c>
      <c r="B13" t="s">
        <v>28</v>
      </c>
      <c r="C13" s="3">
        <v>9.8000000000000007</v>
      </c>
      <c r="D13" s="4">
        <v>35</v>
      </c>
      <c r="E13" s="5">
        <v>25.2</v>
      </c>
    </row>
    <row r="14" spans="1:5" x14ac:dyDescent="0.3">
      <c r="A14" s="2">
        <v>2021000013</v>
      </c>
      <c r="B14" t="s">
        <v>31</v>
      </c>
      <c r="C14" s="3">
        <v>10.78</v>
      </c>
      <c r="D14" s="4">
        <v>35</v>
      </c>
      <c r="E14" s="5">
        <v>24.22</v>
      </c>
    </row>
    <row r="15" spans="1:5" x14ac:dyDescent="0.3">
      <c r="A15" s="2">
        <v>2021000014</v>
      </c>
      <c r="B15" t="s">
        <v>32</v>
      </c>
      <c r="C15" s="3">
        <v>12.15</v>
      </c>
      <c r="D15" s="4">
        <v>30</v>
      </c>
      <c r="E15" s="5">
        <v>17.850000000000001</v>
      </c>
    </row>
    <row r="16" spans="1:5" x14ac:dyDescent="0.3">
      <c r="A16" s="2">
        <v>2021000015</v>
      </c>
      <c r="B16" t="s">
        <v>33</v>
      </c>
      <c r="C16" s="3">
        <v>12.15</v>
      </c>
      <c r="D16" s="4">
        <v>30</v>
      </c>
      <c r="E16" s="5">
        <v>17.850000000000001</v>
      </c>
    </row>
    <row r="17" spans="1:5" x14ac:dyDescent="0.3">
      <c r="A17" s="2">
        <v>2021000016</v>
      </c>
      <c r="B17" t="s">
        <v>34</v>
      </c>
      <c r="C17" s="3">
        <v>12.15</v>
      </c>
      <c r="D17" s="4">
        <v>30</v>
      </c>
      <c r="E17" s="5">
        <v>17.850000000000001</v>
      </c>
    </row>
    <row r="18" spans="1:5" x14ac:dyDescent="0.3">
      <c r="A18" s="2">
        <v>2021000017</v>
      </c>
      <c r="B18" t="s">
        <v>35</v>
      </c>
      <c r="C18" s="3">
        <v>35</v>
      </c>
      <c r="D18" s="4">
        <v>70</v>
      </c>
      <c r="E18" s="5">
        <v>35</v>
      </c>
    </row>
    <row r="19" spans="1:5" x14ac:dyDescent="0.3">
      <c r="A19" s="2">
        <v>2021000018</v>
      </c>
      <c r="B19" t="s">
        <v>36</v>
      </c>
      <c r="C19" s="3">
        <v>15.1</v>
      </c>
      <c r="D19" s="4">
        <v>30</v>
      </c>
      <c r="E19" s="5">
        <v>14.9</v>
      </c>
    </row>
    <row r="20" spans="1:5" x14ac:dyDescent="0.3">
      <c r="A20" s="2">
        <v>2021000019</v>
      </c>
      <c r="B20" t="s">
        <v>37</v>
      </c>
      <c r="C20" s="3">
        <v>15.8</v>
      </c>
      <c r="D20" s="4">
        <v>30</v>
      </c>
      <c r="E20" s="5">
        <v>14.2</v>
      </c>
    </row>
    <row r="21" spans="1:5" x14ac:dyDescent="0.3">
      <c r="A21" s="2">
        <v>2021000020</v>
      </c>
      <c r="B21" t="s">
        <v>38</v>
      </c>
      <c r="C21" s="3">
        <v>12.1</v>
      </c>
      <c r="D21" s="4">
        <v>25</v>
      </c>
      <c r="E21" s="5">
        <v>12.9</v>
      </c>
    </row>
    <row r="22" spans="1:5" x14ac:dyDescent="0.3">
      <c r="A22" s="2">
        <v>2021000021</v>
      </c>
      <c r="B22" t="s">
        <v>39</v>
      </c>
      <c r="C22" s="3">
        <v>12.1</v>
      </c>
      <c r="D22" s="4">
        <v>25</v>
      </c>
      <c r="E22" s="5">
        <v>12.9</v>
      </c>
    </row>
    <row r="23" spans="1:5" x14ac:dyDescent="0.3">
      <c r="A23" s="2">
        <v>2021000022</v>
      </c>
      <c r="B23" t="s">
        <v>40</v>
      </c>
      <c r="C23" s="3">
        <v>17.38</v>
      </c>
      <c r="D23" s="4">
        <v>30</v>
      </c>
      <c r="E23" s="5">
        <v>12.620000000000001</v>
      </c>
    </row>
    <row r="24" spans="1:5" x14ac:dyDescent="0.3">
      <c r="A24" s="2">
        <v>2021000023</v>
      </c>
      <c r="B24" t="s">
        <v>41</v>
      </c>
      <c r="C24" s="3">
        <v>17.38</v>
      </c>
      <c r="D24" s="4">
        <v>30</v>
      </c>
      <c r="E24" s="5">
        <v>12.620000000000001</v>
      </c>
    </row>
    <row r="25" spans="1:5" x14ac:dyDescent="0.3">
      <c r="A25" s="2">
        <v>2021000024</v>
      </c>
      <c r="B25" t="s">
        <v>42</v>
      </c>
      <c r="C25" s="3">
        <v>17.38</v>
      </c>
      <c r="D25" s="4">
        <v>35</v>
      </c>
      <c r="E25" s="5">
        <v>17.62</v>
      </c>
    </row>
    <row r="26" spans="1:5" x14ac:dyDescent="0.3">
      <c r="A26" s="2">
        <v>2021000025</v>
      </c>
      <c r="B26" t="s">
        <v>43</v>
      </c>
      <c r="C26" s="3">
        <v>8.1</v>
      </c>
      <c r="D26" s="4">
        <v>15</v>
      </c>
      <c r="E26" s="5">
        <v>6.9</v>
      </c>
    </row>
    <row r="27" spans="1:5" x14ac:dyDescent="0.3">
      <c r="A27" s="2">
        <v>2021000026</v>
      </c>
      <c r="B27" t="s">
        <v>44</v>
      </c>
      <c r="C27" s="3">
        <v>10.3</v>
      </c>
      <c r="D27" s="4">
        <v>20</v>
      </c>
      <c r="E27" s="5">
        <v>9.6999999999999993</v>
      </c>
    </row>
    <row r="28" spans="1:5" x14ac:dyDescent="0.3">
      <c r="A28" s="2">
        <v>2021000027</v>
      </c>
      <c r="B28" t="s">
        <v>45</v>
      </c>
      <c r="C28" s="5">
        <v>10.3</v>
      </c>
      <c r="D28" s="4">
        <v>20</v>
      </c>
      <c r="E28" s="5">
        <v>9.6999999999999993</v>
      </c>
    </row>
    <row r="29" spans="1:5" x14ac:dyDescent="0.3">
      <c r="A29" s="2">
        <v>2021000028</v>
      </c>
      <c r="B29" t="s">
        <v>46</v>
      </c>
      <c r="C29" s="5">
        <v>10.3</v>
      </c>
      <c r="D29" s="4">
        <v>20</v>
      </c>
      <c r="E29" s="5">
        <v>9.6999999999999993</v>
      </c>
    </row>
    <row r="30" spans="1:5" x14ac:dyDescent="0.3">
      <c r="A30" s="2">
        <v>2021000029</v>
      </c>
      <c r="B30" t="s">
        <v>47</v>
      </c>
      <c r="C30" s="5">
        <v>10.3</v>
      </c>
      <c r="D30" s="4">
        <v>20</v>
      </c>
      <c r="E30" s="5">
        <v>9.6999999999999993</v>
      </c>
    </row>
    <row r="31" spans="1:5" x14ac:dyDescent="0.3">
      <c r="A31" s="2">
        <v>2021000030</v>
      </c>
      <c r="B31" t="s">
        <v>48</v>
      </c>
      <c r="C31" s="5">
        <v>10.3</v>
      </c>
      <c r="D31" s="4">
        <v>20</v>
      </c>
      <c r="E31" s="5">
        <v>9.6999999999999993</v>
      </c>
    </row>
    <row r="32" spans="1:5" x14ac:dyDescent="0.3">
      <c r="A32" s="2">
        <v>2021000031</v>
      </c>
      <c r="B32" t="s">
        <v>49</v>
      </c>
      <c r="C32" s="5">
        <v>10.3</v>
      </c>
      <c r="D32" s="4">
        <v>20</v>
      </c>
      <c r="E32" s="5">
        <v>9.6999999999999993</v>
      </c>
    </row>
    <row r="33" spans="1:5" x14ac:dyDescent="0.3">
      <c r="A33" s="2">
        <v>2021000032</v>
      </c>
      <c r="B33" t="s">
        <v>50</v>
      </c>
      <c r="C33" s="5">
        <v>10.3</v>
      </c>
      <c r="D33" s="4">
        <v>20</v>
      </c>
      <c r="E33" s="5">
        <v>9.6999999999999993</v>
      </c>
    </row>
    <row r="34" spans="1:5" x14ac:dyDescent="0.3">
      <c r="A34" s="2">
        <v>2021000033</v>
      </c>
      <c r="B34" t="s">
        <v>51</v>
      </c>
      <c r="C34" s="5">
        <v>10.3</v>
      </c>
      <c r="D34" s="4">
        <v>20</v>
      </c>
      <c r="E34" s="5">
        <v>9.6999999999999993</v>
      </c>
    </row>
    <row r="35" spans="1:5" x14ac:dyDescent="0.3">
      <c r="A35" s="2">
        <v>2021000034</v>
      </c>
      <c r="B35" t="s">
        <v>52</v>
      </c>
      <c r="C35" s="5">
        <v>10.3</v>
      </c>
      <c r="D35" s="4">
        <v>20</v>
      </c>
      <c r="E35" s="5">
        <v>9.6999999999999993</v>
      </c>
    </row>
    <row r="36" spans="1:5" x14ac:dyDescent="0.3">
      <c r="A36" s="2">
        <v>2021000035</v>
      </c>
      <c r="B36" t="s">
        <v>53</v>
      </c>
      <c r="C36" s="3">
        <v>30.89</v>
      </c>
      <c r="D36" s="4">
        <v>65</v>
      </c>
      <c r="E36" s="5">
        <f>D36-C36</f>
        <v>34.11</v>
      </c>
    </row>
    <row r="37" spans="1:5" x14ac:dyDescent="0.3">
      <c r="A37" s="2">
        <v>2021000036</v>
      </c>
      <c r="B37" t="s">
        <v>54</v>
      </c>
      <c r="C37" s="3">
        <v>30.89</v>
      </c>
      <c r="D37" s="4">
        <v>65</v>
      </c>
      <c r="E37" s="5">
        <v>34.11</v>
      </c>
    </row>
    <row r="38" spans="1:5" x14ac:dyDescent="0.3">
      <c r="A38" s="2">
        <v>2021000037</v>
      </c>
      <c r="B38" t="s">
        <v>55</v>
      </c>
      <c r="C38" s="3">
        <v>50.25</v>
      </c>
      <c r="D38" s="4">
        <v>90</v>
      </c>
      <c r="E38" s="5">
        <f t="shared" ref="E38:E100" si="0">D38-C38</f>
        <v>39.75</v>
      </c>
    </row>
    <row r="39" spans="1:5" x14ac:dyDescent="0.3">
      <c r="A39" s="2">
        <v>2021000038</v>
      </c>
      <c r="B39" t="s">
        <v>56</v>
      </c>
      <c r="C39" s="3">
        <v>50.25</v>
      </c>
      <c r="D39" s="4">
        <v>90</v>
      </c>
      <c r="E39" s="5">
        <v>39.75</v>
      </c>
    </row>
    <row r="40" spans="1:5" x14ac:dyDescent="0.3">
      <c r="A40" s="2">
        <v>2021000039</v>
      </c>
      <c r="B40" t="s">
        <v>57</v>
      </c>
      <c r="C40" s="3">
        <v>15</v>
      </c>
      <c r="D40" s="4">
        <v>30</v>
      </c>
      <c r="E40" s="5">
        <f t="shared" si="0"/>
        <v>15</v>
      </c>
    </row>
    <row r="41" spans="1:5" x14ac:dyDescent="0.3">
      <c r="A41" s="2">
        <v>2021000040</v>
      </c>
      <c r="B41" t="s">
        <v>58</v>
      </c>
      <c r="C41" s="3">
        <v>20</v>
      </c>
      <c r="D41" s="4">
        <v>60</v>
      </c>
      <c r="E41" s="5">
        <f t="shared" si="0"/>
        <v>40</v>
      </c>
    </row>
    <row r="42" spans="1:5" x14ac:dyDescent="0.3">
      <c r="A42" s="2">
        <v>2021000041</v>
      </c>
      <c r="B42" t="s">
        <v>59</v>
      </c>
      <c r="C42" s="3">
        <v>128</v>
      </c>
      <c r="D42" s="4">
        <v>270</v>
      </c>
      <c r="E42" s="5">
        <v>142</v>
      </c>
    </row>
    <row r="43" spans="1:5" x14ac:dyDescent="0.3">
      <c r="A43" s="2">
        <v>2021000042</v>
      </c>
      <c r="B43" t="s">
        <v>60</v>
      </c>
      <c r="C43" s="5">
        <v>128</v>
      </c>
      <c r="D43" s="4">
        <v>240</v>
      </c>
      <c r="E43" s="5">
        <f t="shared" si="0"/>
        <v>112</v>
      </c>
    </row>
    <row r="44" spans="1:5" x14ac:dyDescent="0.3">
      <c r="A44" s="2">
        <v>2021000043</v>
      </c>
      <c r="B44" t="s">
        <v>61</v>
      </c>
      <c r="C44" s="5">
        <v>128</v>
      </c>
      <c r="D44" s="4">
        <v>240</v>
      </c>
      <c r="E44" s="5">
        <f t="shared" si="0"/>
        <v>112</v>
      </c>
    </row>
    <row r="45" spans="1:5" x14ac:dyDescent="0.3">
      <c r="A45" s="2">
        <v>2021000044</v>
      </c>
      <c r="B45" t="s">
        <v>62</v>
      </c>
      <c r="C45" s="5">
        <v>128</v>
      </c>
      <c r="D45" s="4">
        <v>240</v>
      </c>
      <c r="E45" s="5">
        <f t="shared" si="0"/>
        <v>112</v>
      </c>
    </row>
    <row r="46" spans="1:5" x14ac:dyDescent="0.3">
      <c r="A46" s="2">
        <v>2021000045</v>
      </c>
      <c r="B46" t="s">
        <v>63</v>
      </c>
      <c r="C46" s="3">
        <v>211.92</v>
      </c>
      <c r="D46" s="4">
        <v>320</v>
      </c>
      <c r="E46" s="5">
        <f t="shared" si="0"/>
        <v>108.08000000000001</v>
      </c>
    </row>
    <row r="47" spans="1:5" x14ac:dyDescent="0.3">
      <c r="A47" s="2">
        <v>2021000046</v>
      </c>
      <c r="B47" t="s">
        <v>64</v>
      </c>
      <c r="C47" s="3">
        <v>162.08000000000001</v>
      </c>
      <c r="D47" s="4">
        <v>280</v>
      </c>
      <c r="E47" s="5">
        <f t="shared" si="0"/>
        <v>117.91999999999999</v>
      </c>
    </row>
    <row r="48" spans="1:5" x14ac:dyDescent="0.3">
      <c r="A48" s="2">
        <v>2021000047</v>
      </c>
      <c r="B48" t="s">
        <v>65</v>
      </c>
      <c r="C48" s="3">
        <v>49</v>
      </c>
      <c r="D48" s="4">
        <v>100</v>
      </c>
      <c r="E48" s="5">
        <f t="shared" si="0"/>
        <v>51</v>
      </c>
    </row>
    <row r="49" spans="1:5" x14ac:dyDescent="0.3">
      <c r="A49" s="2">
        <v>2021000048</v>
      </c>
      <c r="B49" t="s">
        <v>66</v>
      </c>
      <c r="C49" s="3">
        <v>49</v>
      </c>
      <c r="D49" s="4">
        <v>100</v>
      </c>
      <c r="E49" s="5">
        <f t="shared" si="0"/>
        <v>51</v>
      </c>
    </row>
    <row r="50" spans="1:5" x14ac:dyDescent="0.3">
      <c r="A50" s="2">
        <v>2021000049</v>
      </c>
      <c r="B50" t="s">
        <v>67</v>
      </c>
      <c r="C50" s="3">
        <v>128</v>
      </c>
      <c r="D50" s="4">
        <v>240</v>
      </c>
      <c r="E50" s="5">
        <f t="shared" si="0"/>
        <v>112</v>
      </c>
    </row>
    <row r="51" spans="1:5" x14ac:dyDescent="0.3">
      <c r="A51" s="2">
        <v>2021000050</v>
      </c>
      <c r="B51" t="s">
        <v>68</v>
      </c>
      <c r="C51" s="3">
        <v>128</v>
      </c>
      <c r="D51" s="4">
        <v>240</v>
      </c>
      <c r="E51" s="5">
        <f t="shared" si="0"/>
        <v>112</v>
      </c>
    </row>
    <row r="52" spans="1:5" x14ac:dyDescent="0.3">
      <c r="A52" s="2">
        <v>2021000051</v>
      </c>
      <c r="B52" t="s">
        <v>69</v>
      </c>
      <c r="C52" s="3">
        <v>35</v>
      </c>
      <c r="D52" s="4">
        <v>70</v>
      </c>
      <c r="E52" s="5">
        <f t="shared" si="0"/>
        <v>35</v>
      </c>
    </row>
    <row r="53" spans="1:5" x14ac:dyDescent="0.3">
      <c r="A53" s="2">
        <v>2021000052</v>
      </c>
      <c r="B53" t="s">
        <v>70</v>
      </c>
      <c r="C53" s="5">
        <v>40</v>
      </c>
      <c r="D53" s="4">
        <v>70</v>
      </c>
      <c r="E53" s="5">
        <f t="shared" si="0"/>
        <v>30</v>
      </c>
    </row>
    <row r="54" spans="1:5" x14ac:dyDescent="0.3">
      <c r="A54" s="2">
        <v>2021000053</v>
      </c>
      <c r="B54" t="s">
        <v>71</v>
      </c>
      <c r="C54" s="5">
        <v>40</v>
      </c>
      <c r="D54" s="4">
        <v>70</v>
      </c>
      <c r="E54" s="5">
        <f t="shared" si="0"/>
        <v>30</v>
      </c>
    </row>
    <row r="55" spans="1:5" x14ac:dyDescent="0.3">
      <c r="A55" s="2">
        <v>2021000054</v>
      </c>
      <c r="B55" t="s">
        <v>72</v>
      </c>
      <c r="C55" s="5">
        <v>40</v>
      </c>
      <c r="D55" s="4">
        <v>70</v>
      </c>
      <c r="E55" s="5">
        <f t="shared" si="0"/>
        <v>30</v>
      </c>
    </row>
    <row r="56" spans="1:5" x14ac:dyDescent="0.3">
      <c r="A56" s="2">
        <v>2021000055</v>
      </c>
      <c r="B56" t="s">
        <v>73</v>
      </c>
      <c r="C56" s="5">
        <v>40</v>
      </c>
      <c r="D56" s="4">
        <v>70</v>
      </c>
      <c r="E56" s="5">
        <f t="shared" si="0"/>
        <v>30</v>
      </c>
    </row>
    <row r="57" spans="1:5" x14ac:dyDescent="0.3">
      <c r="A57" s="2">
        <v>2021000056</v>
      </c>
      <c r="B57" t="s">
        <v>74</v>
      </c>
      <c r="C57" s="5">
        <v>40</v>
      </c>
      <c r="D57" s="4">
        <v>70</v>
      </c>
      <c r="E57" s="5">
        <f t="shared" si="0"/>
        <v>30</v>
      </c>
    </row>
    <row r="58" spans="1:5" x14ac:dyDescent="0.3">
      <c r="A58" s="2">
        <v>2021000057</v>
      </c>
      <c r="B58" t="s">
        <v>75</v>
      </c>
      <c r="C58" s="5">
        <v>40</v>
      </c>
      <c r="D58" s="4">
        <v>70</v>
      </c>
      <c r="E58" s="5">
        <f t="shared" si="0"/>
        <v>30</v>
      </c>
    </row>
    <row r="59" spans="1:5" x14ac:dyDescent="0.3">
      <c r="A59" s="2">
        <v>2021000058</v>
      </c>
      <c r="B59" t="s">
        <v>76</v>
      </c>
      <c r="C59" s="5">
        <v>40</v>
      </c>
      <c r="D59" s="4">
        <v>70</v>
      </c>
      <c r="E59" s="5">
        <f t="shared" si="0"/>
        <v>30</v>
      </c>
    </row>
    <row r="60" spans="1:5" x14ac:dyDescent="0.3">
      <c r="A60" s="2">
        <v>2021000059</v>
      </c>
      <c r="B60" t="s">
        <v>77</v>
      </c>
      <c r="C60" s="3">
        <v>27</v>
      </c>
      <c r="D60" s="4">
        <v>45</v>
      </c>
      <c r="E60" s="5">
        <f t="shared" si="0"/>
        <v>18</v>
      </c>
    </row>
    <row r="61" spans="1:5" x14ac:dyDescent="0.3">
      <c r="A61" s="2">
        <v>2021000060</v>
      </c>
      <c r="B61" t="s">
        <v>78</v>
      </c>
      <c r="C61" s="3">
        <v>150</v>
      </c>
      <c r="D61" s="4">
        <v>250</v>
      </c>
      <c r="E61" s="5">
        <v>100</v>
      </c>
    </row>
    <row r="62" spans="1:5" x14ac:dyDescent="0.3">
      <c r="A62" s="2">
        <v>2021000061</v>
      </c>
      <c r="B62" t="s">
        <v>79</v>
      </c>
      <c r="C62" s="3">
        <v>120</v>
      </c>
      <c r="D62" s="4">
        <v>230</v>
      </c>
      <c r="E62" s="5">
        <f t="shared" si="0"/>
        <v>110</v>
      </c>
    </row>
    <row r="63" spans="1:5" x14ac:dyDescent="0.3">
      <c r="A63" s="2">
        <v>2021000062</v>
      </c>
      <c r="B63" t="s">
        <v>80</v>
      </c>
      <c r="C63" s="3">
        <v>15</v>
      </c>
      <c r="D63" s="4">
        <v>30</v>
      </c>
      <c r="E63" s="5">
        <f t="shared" si="0"/>
        <v>15</v>
      </c>
    </row>
    <row r="64" spans="1:5" x14ac:dyDescent="0.3">
      <c r="A64" s="2">
        <v>2021000063</v>
      </c>
      <c r="B64" t="s">
        <v>81</v>
      </c>
      <c r="C64" s="3">
        <v>15</v>
      </c>
      <c r="D64" s="4">
        <v>35</v>
      </c>
      <c r="E64" s="5">
        <f t="shared" si="0"/>
        <v>20</v>
      </c>
    </row>
    <row r="65" spans="1:5" x14ac:dyDescent="0.3">
      <c r="A65" s="2">
        <v>2021000064</v>
      </c>
      <c r="B65" t="s">
        <v>82</v>
      </c>
      <c r="C65" s="3">
        <v>18</v>
      </c>
      <c r="D65" s="4">
        <v>40</v>
      </c>
      <c r="E65" s="5">
        <f t="shared" si="0"/>
        <v>22</v>
      </c>
    </row>
    <row r="66" spans="1:5" x14ac:dyDescent="0.3">
      <c r="A66" s="2">
        <v>2021000065</v>
      </c>
      <c r="B66" t="s">
        <v>83</v>
      </c>
      <c r="C66" s="3">
        <v>22</v>
      </c>
      <c r="D66" s="4">
        <v>50</v>
      </c>
      <c r="E66" s="5">
        <f t="shared" si="0"/>
        <v>28</v>
      </c>
    </row>
    <row r="67" spans="1:5" x14ac:dyDescent="0.3">
      <c r="A67" s="2">
        <v>2021000066</v>
      </c>
      <c r="B67" t="s">
        <v>84</v>
      </c>
      <c r="C67" s="3">
        <v>25</v>
      </c>
      <c r="D67" s="4">
        <v>60</v>
      </c>
      <c r="E67" s="5">
        <f t="shared" si="0"/>
        <v>35</v>
      </c>
    </row>
    <row r="68" spans="1:5" x14ac:dyDescent="0.3">
      <c r="A68" s="2">
        <v>2021000067</v>
      </c>
      <c r="B68" t="s">
        <v>85</v>
      </c>
      <c r="C68" s="3">
        <v>7.5</v>
      </c>
      <c r="D68" s="4">
        <v>15</v>
      </c>
      <c r="E68" s="5">
        <f t="shared" si="0"/>
        <v>7.5</v>
      </c>
    </row>
    <row r="69" spans="1:5" x14ac:dyDescent="0.3">
      <c r="A69" s="2">
        <v>2021000068</v>
      </c>
      <c r="B69" t="s">
        <v>86</v>
      </c>
      <c r="C69" s="3">
        <v>15</v>
      </c>
      <c r="D69" s="4">
        <v>35</v>
      </c>
      <c r="E69" s="5">
        <f t="shared" si="0"/>
        <v>20</v>
      </c>
    </row>
    <row r="70" spans="1:5" x14ac:dyDescent="0.3">
      <c r="A70" s="2">
        <v>2021000069</v>
      </c>
      <c r="B70" t="s">
        <v>87</v>
      </c>
      <c r="C70" s="3">
        <v>18</v>
      </c>
      <c r="D70" s="4">
        <v>40</v>
      </c>
      <c r="E70" s="5">
        <f t="shared" si="0"/>
        <v>22</v>
      </c>
    </row>
    <row r="71" spans="1:5" x14ac:dyDescent="0.3">
      <c r="A71" s="2">
        <v>2021000070</v>
      </c>
      <c r="B71" t="s">
        <v>89</v>
      </c>
      <c r="C71" s="3">
        <v>15</v>
      </c>
      <c r="D71" s="4">
        <v>35</v>
      </c>
      <c r="E71" s="5">
        <f t="shared" si="0"/>
        <v>20</v>
      </c>
    </row>
    <row r="72" spans="1:5" x14ac:dyDescent="0.3">
      <c r="A72" s="2">
        <v>2021000071</v>
      </c>
      <c r="B72" t="s">
        <v>88</v>
      </c>
      <c r="C72" s="3">
        <v>18</v>
      </c>
      <c r="D72" s="4">
        <v>40</v>
      </c>
      <c r="E72" s="5">
        <f t="shared" si="0"/>
        <v>22</v>
      </c>
    </row>
    <row r="73" spans="1:5" x14ac:dyDescent="0.3">
      <c r="A73" s="2">
        <v>2021000072</v>
      </c>
      <c r="B73" t="s">
        <v>90</v>
      </c>
      <c r="C73" s="3">
        <v>50</v>
      </c>
      <c r="D73" s="4">
        <v>100</v>
      </c>
      <c r="E73" s="5">
        <f t="shared" si="0"/>
        <v>50</v>
      </c>
    </row>
    <row r="74" spans="1:5" x14ac:dyDescent="0.3">
      <c r="A74" s="2">
        <v>2021000073</v>
      </c>
      <c r="B74" t="s">
        <v>91</v>
      </c>
      <c r="C74" s="3">
        <v>240</v>
      </c>
      <c r="D74" s="4">
        <v>430</v>
      </c>
      <c r="E74" s="5">
        <f t="shared" si="0"/>
        <v>190</v>
      </c>
    </row>
    <row r="75" spans="1:5" x14ac:dyDescent="0.3">
      <c r="A75" s="2">
        <v>2021000074</v>
      </c>
      <c r="B75" t="s">
        <v>93</v>
      </c>
      <c r="C75" s="3">
        <v>0</v>
      </c>
      <c r="D75" s="4">
        <v>0</v>
      </c>
      <c r="E75" s="5">
        <f t="shared" si="0"/>
        <v>0</v>
      </c>
    </row>
    <row r="76" spans="1:5" x14ac:dyDescent="0.3">
      <c r="A76" s="2">
        <v>2021000075</v>
      </c>
      <c r="B76" t="s">
        <v>92</v>
      </c>
      <c r="C76" s="3">
        <v>0</v>
      </c>
      <c r="D76" s="4">
        <v>0</v>
      </c>
      <c r="E76" s="5">
        <f t="shared" si="0"/>
        <v>0</v>
      </c>
    </row>
    <row r="77" spans="1:5" x14ac:dyDescent="0.3">
      <c r="A77" s="2">
        <v>2021000076</v>
      </c>
      <c r="B77" t="s">
        <v>301</v>
      </c>
      <c r="C77" s="3">
        <v>95</v>
      </c>
      <c r="D77" s="4">
        <v>180</v>
      </c>
      <c r="E77" s="5">
        <v>70</v>
      </c>
    </row>
    <row r="78" spans="1:5" x14ac:dyDescent="0.3">
      <c r="A78" s="2">
        <v>2021000077</v>
      </c>
      <c r="B78" t="s">
        <v>296</v>
      </c>
      <c r="C78" s="3">
        <v>160</v>
      </c>
      <c r="D78" s="4">
        <v>300</v>
      </c>
      <c r="E78" s="5">
        <f t="shared" si="0"/>
        <v>140</v>
      </c>
    </row>
    <row r="79" spans="1:5" x14ac:dyDescent="0.3">
      <c r="A79" s="2">
        <v>2021000078</v>
      </c>
      <c r="B79" t="s">
        <v>96</v>
      </c>
      <c r="C79" s="3">
        <v>115</v>
      </c>
      <c r="D79" s="4">
        <v>230</v>
      </c>
      <c r="E79" s="5">
        <v>115</v>
      </c>
    </row>
    <row r="80" spans="1:5" x14ac:dyDescent="0.3">
      <c r="A80" s="2">
        <v>2021000079</v>
      </c>
      <c r="B80" t="s">
        <v>97</v>
      </c>
      <c r="C80" s="3">
        <v>115</v>
      </c>
      <c r="D80" s="4">
        <v>230</v>
      </c>
      <c r="E80" s="5">
        <v>115</v>
      </c>
    </row>
    <row r="81" spans="1:5" x14ac:dyDescent="0.3">
      <c r="A81" s="2">
        <v>2021000080</v>
      </c>
      <c r="B81" t="s">
        <v>98</v>
      </c>
      <c r="C81" s="3">
        <v>115</v>
      </c>
      <c r="D81" s="4">
        <v>230</v>
      </c>
      <c r="E81" s="5">
        <v>110</v>
      </c>
    </row>
    <row r="82" spans="1:5" x14ac:dyDescent="0.3">
      <c r="A82" s="2">
        <v>2021000081</v>
      </c>
      <c r="B82" t="s">
        <v>99</v>
      </c>
      <c r="C82" s="3">
        <v>100</v>
      </c>
      <c r="D82" s="4">
        <v>230</v>
      </c>
      <c r="E82" s="5">
        <v>130</v>
      </c>
    </row>
    <row r="83" spans="1:5" x14ac:dyDescent="0.3">
      <c r="A83" s="2">
        <v>2021000082</v>
      </c>
      <c r="B83" t="s">
        <v>100</v>
      </c>
      <c r="C83" s="3">
        <v>110</v>
      </c>
      <c r="D83" s="4">
        <v>260</v>
      </c>
      <c r="E83" s="5">
        <f t="shared" si="0"/>
        <v>150</v>
      </c>
    </row>
    <row r="84" spans="1:5" x14ac:dyDescent="0.3">
      <c r="A84" s="2">
        <v>2021000083</v>
      </c>
      <c r="B84" t="s">
        <v>101</v>
      </c>
      <c r="C84" s="3">
        <v>110</v>
      </c>
      <c r="D84" s="4">
        <v>260</v>
      </c>
      <c r="E84" s="5">
        <f t="shared" si="0"/>
        <v>150</v>
      </c>
    </row>
    <row r="85" spans="1:5" x14ac:dyDescent="0.3">
      <c r="A85" s="2">
        <v>2021000084</v>
      </c>
      <c r="B85" t="s">
        <v>102</v>
      </c>
      <c r="C85" s="3">
        <v>110</v>
      </c>
      <c r="D85" s="4">
        <v>260</v>
      </c>
      <c r="E85" s="5">
        <f t="shared" si="0"/>
        <v>150</v>
      </c>
    </row>
    <row r="86" spans="1:5" x14ac:dyDescent="0.3">
      <c r="A86" s="2">
        <v>2021000085</v>
      </c>
      <c r="B86" t="s">
        <v>103</v>
      </c>
      <c r="C86" s="3">
        <v>160</v>
      </c>
      <c r="D86" s="4">
        <v>320</v>
      </c>
      <c r="E86" s="5">
        <f t="shared" si="0"/>
        <v>160</v>
      </c>
    </row>
    <row r="87" spans="1:5" x14ac:dyDescent="0.3">
      <c r="A87" s="2">
        <v>2021000086</v>
      </c>
      <c r="B87" t="s">
        <v>104</v>
      </c>
      <c r="C87" s="3">
        <v>31</v>
      </c>
      <c r="D87" s="4">
        <v>60</v>
      </c>
      <c r="E87" s="5">
        <f t="shared" si="0"/>
        <v>29</v>
      </c>
    </row>
    <row r="88" spans="1:5" x14ac:dyDescent="0.3">
      <c r="A88" s="2">
        <v>2021000087</v>
      </c>
      <c r="B88" t="s">
        <v>105</v>
      </c>
      <c r="C88" s="3">
        <v>35</v>
      </c>
      <c r="D88" s="4">
        <v>70</v>
      </c>
      <c r="E88" s="5">
        <f t="shared" si="0"/>
        <v>35</v>
      </c>
    </row>
    <row r="89" spans="1:5" x14ac:dyDescent="0.3">
      <c r="A89" s="2">
        <v>2021000088</v>
      </c>
      <c r="B89" t="s">
        <v>106</v>
      </c>
      <c r="C89" s="3">
        <v>50</v>
      </c>
      <c r="D89" s="4">
        <v>100</v>
      </c>
      <c r="E89" s="5">
        <f t="shared" si="0"/>
        <v>50</v>
      </c>
    </row>
    <row r="90" spans="1:5" x14ac:dyDescent="0.3">
      <c r="A90" s="2">
        <v>2021000089</v>
      </c>
      <c r="B90" t="s">
        <v>107</v>
      </c>
      <c r="C90" s="3">
        <v>20</v>
      </c>
      <c r="D90" s="4">
        <v>35</v>
      </c>
      <c r="E90" s="5">
        <f t="shared" si="0"/>
        <v>15</v>
      </c>
    </row>
    <row r="91" spans="1:5" x14ac:dyDescent="0.3">
      <c r="A91" s="2">
        <v>2021000090</v>
      </c>
      <c r="B91" t="s">
        <v>108</v>
      </c>
      <c r="C91" s="3">
        <v>35</v>
      </c>
      <c r="D91" s="4">
        <v>50</v>
      </c>
      <c r="E91" s="5">
        <f t="shared" si="0"/>
        <v>15</v>
      </c>
    </row>
    <row r="92" spans="1:5" x14ac:dyDescent="0.3">
      <c r="A92" s="2">
        <v>2021000091</v>
      </c>
      <c r="B92" t="s">
        <v>109</v>
      </c>
      <c r="C92" s="3">
        <v>27</v>
      </c>
      <c r="D92" s="4">
        <v>70</v>
      </c>
      <c r="E92" s="5">
        <f t="shared" si="0"/>
        <v>43</v>
      </c>
    </row>
    <row r="93" spans="1:5" x14ac:dyDescent="0.3">
      <c r="A93" s="2">
        <v>2021000092</v>
      </c>
      <c r="B93" t="s">
        <v>339</v>
      </c>
      <c r="C93" s="3">
        <v>16</v>
      </c>
      <c r="D93" s="4">
        <v>40</v>
      </c>
      <c r="E93" s="5">
        <f t="shared" si="0"/>
        <v>24</v>
      </c>
    </row>
    <row r="94" spans="1:5" x14ac:dyDescent="0.3">
      <c r="A94" s="2">
        <v>2021000093</v>
      </c>
      <c r="B94" t="s">
        <v>340</v>
      </c>
      <c r="C94" s="3">
        <v>16</v>
      </c>
      <c r="D94" s="4">
        <v>40</v>
      </c>
      <c r="E94" s="5">
        <f t="shared" si="0"/>
        <v>24</v>
      </c>
    </row>
    <row r="95" spans="1:5" x14ac:dyDescent="0.3">
      <c r="A95" s="2">
        <v>2021000094</v>
      </c>
      <c r="B95" t="s">
        <v>112</v>
      </c>
      <c r="C95" s="3">
        <v>35</v>
      </c>
      <c r="D95" s="4">
        <v>70</v>
      </c>
      <c r="E95" s="5">
        <f t="shared" si="0"/>
        <v>35</v>
      </c>
    </row>
    <row r="96" spans="1:5" x14ac:dyDescent="0.3">
      <c r="A96" s="2">
        <v>2021000095</v>
      </c>
      <c r="B96" t="s">
        <v>113</v>
      </c>
      <c r="C96" s="3">
        <v>18.8</v>
      </c>
      <c r="D96" s="4">
        <v>70</v>
      </c>
      <c r="E96" s="5">
        <f t="shared" si="0"/>
        <v>51.2</v>
      </c>
    </row>
    <row r="97" spans="1:5" x14ac:dyDescent="0.3">
      <c r="A97" s="2">
        <v>2021000096</v>
      </c>
      <c r="B97" t="s">
        <v>114</v>
      </c>
      <c r="C97" s="3">
        <v>20</v>
      </c>
      <c r="D97" s="4">
        <v>40</v>
      </c>
      <c r="E97" s="5">
        <f t="shared" si="0"/>
        <v>20</v>
      </c>
    </row>
    <row r="98" spans="1:5" x14ac:dyDescent="0.3">
      <c r="A98" s="2">
        <v>2021000097</v>
      </c>
      <c r="B98" t="s">
        <v>115</v>
      </c>
      <c r="C98" s="5">
        <v>25</v>
      </c>
      <c r="D98" s="4">
        <v>45</v>
      </c>
      <c r="E98" s="5">
        <f t="shared" si="0"/>
        <v>20</v>
      </c>
    </row>
    <row r="99" spans="1:5" x14ac:dyDescent="0.3">
      <c r="A99" s="2">
        <v>2021000098</v>
      </c>
      <c r="B99" t="s">
        <v>116</v>
      </c>
      <c r="C99" s="5">
        <v>20</v>
      </c>
      <c r="D99" s="4">
        <v>40</v>
      </c>
      <c r="E99" s="5">
        <f t="shared" si="0"/>
        <v>20</v>
      </c>
    </row>
    <row r="100" spans="1:5" x14ac:dyDescent="0.3">
      <c r="A100" s="2">
        <v>2021000099</v>
      </c>
      <c r="B100" t="s">
        <v>117</v>
      </c>
      <c r="C100" s="5">
        <v>20</v>
      </c>
      <c r="D100" s="4">
        <v>40</v>
      </c>
      <c r="E100" s="5">
        <f t="shared" si="0"/>
        <v>20</v>
      </c>
    </row>
    <row r="101" spans="1:5" x14ac:dyDescent="0.3">
      <c r="A101" s="2">
        <v>2021000100</v>
      </c>
      <c r="B101" t="s">
        <v>118</v>
      </c>
      <c r="C101" s="3">
        <v>25</v>
      </c>
      <c r="D101" s="4">
        <v>55</v>
      </c>
      <c r="E101" s="5">
        <f t="shared" ref="E101:E164" si="1">D101-C101</f>
        <v>30</v>
      </c>
    </row>
    <row r="102" spans="1:5" x14ac:dyDescent="0.3">
      <c r="A102" s="2">
        <v>2021000101</v>
      </c>
      <c r="B102" t="s">
        <v>119</v>
      </c>
      <c r="C102" s="3">
        <v>9</v>
      </c>
      <c r="D102" s="4">
        <v>30</v>
      </c>
      <c r="E102" s="5">
        <f t="shared" si="1"/>
        <v>21</v>
      </c>
    </row>
    <row r="103" spans="1:5" x14ac:dyDescent="0.3">
      <c r="A103" s="2">
        <v>2021000102</v>
      </c>
      <c r="B103" t="s">
        <v>120</v>
      </c>
      <c r="C103" s="3">
        <v>10</v>
      </c>
      <c r="D103" s="4">
        <v>25</v>
      </c>
      <c r="E103" s="5">
        <f t="shared" si="1"/>
        <v>15</v>
      </c>
    </row>
    <row r="104" spans="1:5" x14ac:dyDescent="0.3">
      <c r="A104" s="2">
        <v>2021000103</v>
      </c>
      <c r="B104" t="s">
        <v>121</v>
      </c>
      <c r="C104" s="3">
        <v>23</v>
      </c>
      <c r="D104" s="4">
        <v>45</v>
      </c>
      <c r="E104" s="5">
        <f t="shared" si="1"/>
        <v>22</v>
      </c>
    </row>
    <row r="105" spans="1:5" x14ac:dyDescent="0.3">
      <c r="A105" s="2">
        <v>2021000104</v>
      </c>
      <c r="B105" t="s">
        <v>122</v>
      </c>
      <c r="C105" s="3">
        <v>15</v>
      </c>
      <c r="D105" s="4">
        <v>30</v>
      </c>
      <c r="E105" s="5">
        <f t="shared" si="1"/>
        <v>15</v>
      </c>
    </row>
    <row r="106" spans="1:5" x14ac:dyDescent="0.3">
      <c r="A106" s="2">
        <v>2021000105</v>
      </c>
      <c r="B106" t="s">
        <v>123</v>
      </c>
      <c r="C106" s="3">
        <v>22</v>
      </c>
      <c r="D106" s="4">
        <v>45</v>
      </c>
      <c r="E106" s="5">
        <f t="shared" si="1"/>
        <v>23</v>
      </c>
    </row>
    <row r="107" spans="1:5" x14ac:dyDescent="0.3">
      <c r="A107" s="2">
        <v>2021000106</v>
      </c>
      <c r="B107" t="s">
        <v>124</v>
      </c>
      <c r="C107" s="3">
        <v>22</v>
      </c>
      <c r="D107" s="4">
        <v>45</v>
      </c>
      <c r="E107" s="5">
        <f t="shared" si="1"/>
        <v>23</v>
      </c>
    </row>
    <row r="108" spans="1:5" x14ac:dyDescent="0.3">
      <c r="A108" s="2">
        <v>2021000107</v>
      </c>
      <c r="B108" t="s">
        <v>125</v>
      </c>
      <c r="C108" s="3">
        <v>9</v>
      </c>
      <c r="D108" s="4">
        <v>35</v>
      </c>
      <c r="E108" s="5">
        <f t="shared" si="1"/>
        <v>26</v>
      </c>
    </row>
    <row r="109" spans="1:5" x14ac:dyDescent="0.3">
      <c r="A109" s="2">
        <v>2021000108</v>
      </c>
      <c r="B109" t="s">
        <v>126</v>
      </c>
      <c r="C109" s="3">
        <v>8</v>
      </c>
      <c r="D109" s="4">
        <v>35</v>
      </c>
      <c r="E109" s="5">
        <f t="shared" si="1"/>
        <v>27</v>
      </c>
    </row>
    <row r="110" spans="1:5" x14ac:dyDescent="0.3">
      <c r="A110" s="2">
        <v>2021000109</v>
      </c>
      <c r="B110" t="s">
        <v>127</v>
      </c>
      <c r="C110" s="3">
        <v>20</v>
      </c>
      <c r="D110" s="4">
        <v>40</v>
      </c>
      <c r="E110" s="5">
        <f t="shared" si="1"/>
        <v>20</v>
      </c>
    </row>
    <row r="111" spans="1:5" x14ac:dyDescent="0.3">
      <c r="A111" s="2">
        <v>2021000110</v>
      </c>
      <c r="B111" t="s">
        <v>128</v>
      </c>
      <c r="C111" s="3">
        <v>20</v>
      </c>
      <c r="D111" s="4">
        <v>40</v>
      </c>
      <c r="E111" s="5">
        <f t="shared" si="1"/>
        <v>20</v>
      </c>
    </row>
    <row r="112" spans="1:5" x14ac:dyDescent="0.3">
      <c r="A112" s="2">
        <v>2021000111</v>
      </c>
      <c r="B112" t="s">
        <v>129</v>
      </c>
      <c r="C112" s="3">
        <v>22</v>
      </c>
      <c r="D112" s="4">
        <v>45</v>
      </c>
      <c r="E112" s="5">
        <f t="shared" si="1"/>
        <v>23</v>
      </c>
    </row>
    <row r="113" spans="1:5" x14ac:dyDescent="0.3">
      <c r="A113" s="2">
        <v>2021000112</v>
      </c>
      <c r="B113" t="s">
        <v>130</v>
      </c>
      <c r="C113" s="3">
        <v>23</v>
      </c>
      <c r="D113" s="4">
        <v>45</v>
      </c>
      <c r="E113" s="5">
        <f t="shared" si="1"/>
        <v>22</v>
      </c>
    </row>
    <row r="114" spans="1:5" x14ac:dyDescent="0.3">
      <c r="A114" s="2">
        <v>2021000113</v>
      </c>
      <c r="B114" t="s">
        <v>131</v>
      </c>
      <c r="C114" s="3">
        <v>18</v>
      </c>
      <c r="D114" s="4">
        <v>35</v>
      </c>
      <c r="E114" s="5">
        <f t="shared" si="1"/>
        <v>17</v>
      </c>
    </row>
    <row r="115" spans="1:5" x14ac:dyDescent="0.3">
      <c r="A115" s="2">
        <v>2021000114</v>
      </c>
      <c r="B115" t="s">
        <v>132</v>
      </c>
      <c r="C115" s="3">
        <v>20</v>
      </c>
      <c r="D115" s="4">
        <v>40</v>
      </c>
      <c r="E115" s="5">
        <f t="shared" si="1"/>
        <v>20</v>
      </c>
    </row>
    <row r="116" spans="1:5" x14ac:dyDescent="0.3">
      <c r="A116" s="2">
        <v>2021000115</v>
      </c>
      <c r="B116" t="s">
        <v>133</v>
      </c>
      <c r="C116" s="3">
        <v>35</v>
      </c>
      <c r="D116" s="4">
        <v>80</v>
      </c>
      <c r="E116" s="5">
        <f t="shared" si="1"/>
        <v>45</v>
      </c>
    </row>
    <row r="117" spans="1:5" x14ac:dyDescent="0.3">
      <c r="A117" s="2">
        <v>2021000116</v>
      </c>
      <c r="B117" t="s">
        <v>134</v>
      </c>
      <c r="C117" s="3">
        <v>37</v>
      </c>
      <c r="D117" s="4">
        <v>80</v>
      </c>
      <c r="E117" s="5">
        <f t="shared" si="1"/>
        <v>43</v>
      </c>
    </row>
    <row r="118" spans="1:5" x14ac:dyDescent="0.3">
      <c r="A118" s="2">
        <v>2021000117</v>
      </c>
      <c r="B118" t="s">
        <v>135</v>
      </c>
      <c r="C118" s="3">
        <v>45</v>
      </c>
      <c r="D118" s="4">
        <v>90</v>
      </c>
      <c r="E118" s="5">
        <f t="shared" si="1"/>
        <v>45</v>
      </c>
    </row>
    <row r="119" spans="1:5" x14ac:dyDescent="0.3">
      <c r="A119" s="2">
        <v>2021000118</v>
      </c>
      <c r="B119" t="s">
        <v>136</v>
      </c>
      <c r="C119" s="3">
        <v>55</v>
      </c>
      <c r="D119" s="4">
        <v>100</v>
      </c>
      <c r="E119" s="5">
        <f t="shared" si="1"/>
        <v>45</v>
      </c>
    </row>
    <row r="120" spans="1:5" x14ac:dyDescent="0.3">
      <c r="A120" s="2">
        <v>2021000119</v>
      </c>
      <c r="B120" t="s">
        <v>137</v>
      </c>
      <c r="C120" s="3">
        <v>45</v>
      </c>
      <c r="D120" s="4">
        <v>80</v>
      </c>
      <c r="E120" s="5">
        <f t="shared" si="1"/>
        <v>35</v>
      </c>
    </row>
    <row r="121" spans="1:5" x14ac:dyDescent="0.3">
      <c r="A121" s="2">
        <v>2021000120</v>
      </c>
      <c r="B121" t="s">
        <v>138</v>
      </c>
      <c r="C121" s="3">
        <v>47</v>
      </c>
      <c r="D121" s="4">
        <v>80</v>
      </c>
      <c r="E121" s="5">
        <f t="shared" si="1"/>
        <v>33</v>
      </c>
    </row>
    <row r="122" spans="1:5" x14ac:dyDescent="0.3">
      <c r="A122" s="2">
        <v>2021000121</v>
      </c>
      <c r="B122" t="s">
        <v>139</v>
      </c>
      <c r="C122" s="3">
        <v>40</v>
      </c>
      <c r="D122" s="4">
        <v>80</v>
      </c>
      <c r="E122" s="5">
        <f t="shared" si="1"/>
        <v>40</v>
      </c>
    </row>
    <row r="123" spans="1:5" x14ac:dyDescent="0.3">
      <c r="A123" s="2">
        <v>2021000122</v>
      </c>
      <c r="B123" t="s">
        <v>140</v>
      </c>
      <c r="C123" s="3">
        <v>22</v>
      </c>
      <c r="D123" s="4">
        <v>45</v>
      </c>
      <c r="E123" s="5">
        <f t="shared" si="1"/>
        <v>23</v>
      </c>
    </row>
    <row r="124" spans="1:5" x14ac:dyDescent="0.3">
      <c r="A124" s="2">
        <v>2021000123</v>
      </c>
      <c r="B124" t="s">
        <v>141</v>
      </c>
      <c r="C124" s="3">
        <v>45</v>
      </c>
      <c r="D124" s="4">
        <v>90</v>
      </c>
      <c r="E124" s="5">
        <f t="shared" si="1"/>
        <v>45</v>
      </c>
    </row>
    <row r="125" spans="1:5" x14ac:dyDescent="0.3">
      <c r="A125" s="2">
        <v>2021000124</v>
      </c>
      <c r="B125" t="s">
        <v>142</v>
      </c>
      <c r="C125" s="3">
        <v>45</v>
      </c>
      <c r="D125" s="4">
        <v>90</v>
      </c>
      <c r="E125" s="5">
        <f t="shared" si="1"/>
        <v>45</v>
      </c>
    </row>
    <row r="126" spans="1:5" x14ac:dyDescent="0.3">
      <c r="A126" s="2">
        <v>2021000125</v>
      </c>
      <c r="B126" t="s">
        <v>143</v>
      </c>
      <c r="C126" s="3">
        <v>45</v>
      </c>
      <c r="D126" s="4">
        <v>90</v>
      </c>
      <c r="E126" s="5">
        <f t="shared" si="1"/>
        <v>45</v>
      </c>
    </row>
    <row r="127" spans="1:5" x14ac:dyDescent="0.3">
      <c r="A127" s="2">
        <v>2021000126</v>
      </c>
      <c r="B127" t="s">
        <v>144</v>
      </c>
      <c r="C127" s="3">
        <v>7</v>
      </c>
      <c r="D127" s="4">
        <v>20</v>
      </c>
      <c r="E127" s="5">
        <f t="shared" si="1"/>
        <v>13</v>
      </c>
    </row>
    <row r="128" spans="1:5" x14ac:dyDescent="0.3">
      <c r="A128" s="2">
        <v>2021000127</v>
      </c>
      <c r="B128" t="s">
        <v>145</v>
      </c>
      <c r="C128" s="3">
        <v>33.17</v>
      </c>
      <c r="D128" s="4">
        <v>70</v>
      </c>
      <c r="E128" s="5">
        <f t="shared" si="1"/>
        <v>36.83</v>
      </c>
    </row>
    <row r="129" spans="1:5" x14ac:dyDescent="0.3">
      <c r="A129" s="2">
        <v>2021000128</v>
      </c>
      <c r="B129" t="s">
        <v>146</v>
      </c>
      <c r="C129" s="3">
        <v>28.17</v>
      </c>
      <c r="D129" s="4">
        <v>70</v>
      </c>
      <c r="E129" s="5">
        <f t="shared" si="1"/>
        <v>41.83</v>
      </c>
    </row>
    <row r="130" spans="1:5" x14ac:dyDescent="0.3">
      <c r="A130" s="2">
        <v>2021000129</v>
      </c>
      <c r="B130" t="s">
        <v>147</v>
      </c>
      <c r="C130" s="3">
        <v>30.17</v>
      </c>
      <c r="D130" s="4">
        <v>70</v>
      </c>
      <c r="E130" s="5">
        <f t="shared" si="1"/>
        <v>39.83</v>
      </c>
    </row>
    <row r="131" spans="1:5" x14ac:dyDescent="0.3">
      <c r="A131" s="2">
        <v>2021000130</v>
      </c>
      <c r="B131" t="s">
        <v>148</v>
      </c>
      <c r="C131" s="3">
        <v>22</v>
      </c>
      <c r="D131" s="4">
        <v>50</v>
      </c>
      <c r="E131" s="5">
        <f t="shared" si="1"/>
        <v>28</v>
      </c>
    </row>
    <row r="132" spans="1:5" x14ac:dyDescent="0.3">
      <c r="A132" s="2">
        <v>2021000131</v>
      </c>
      <c r="B132" t="s">
        <v>149</v>
      </c>
      <c r="C132" s="3">
        <v>22</v>
      </c>
      <c r="D132" s="4">
        <v>50</v>
      </c>
      <c r="E132" s="5">
        <f t="shared" si="1"/>
        <v>28</v>
      </c>
    </row>
    <row r="133" spans="1:5" x14ac:dyDescent="0.3">
      <c r="A133" s="2">
        <v>2021000132</v>
      </c>
      <c r="B133" t="s">
        <v>150</v>
      </c>
      <c r="C133" s="3">
        <v>18</v>
      </c>
      <c r="D133" s="4">
        <v>50</v>
      </c>
      <c r="E133" s="5">
        <f t="shared" si="1"/>
        <v>32</v>
      </c>
    </row>
    <row r="134" spans="1:5" x14ac:dyDescent="0.3">
      <c r="A134" s="2">
        <v>2021000133</v>
      </c>
      <c r="B134" t="s">
        <v>151</v>
      </c>
      <c r="C134" s="3">
        <v>18</v>
      </c>
      <c r="D134" s="4">
        <v>50</v>
      </c>
      <c r="E134" s="5">
        <f t="shared" si="1"/>
        <v>32</v>
      </c>
    </row>
    <row r="135" spans="1:5" x14ac:dyDescent="0.3">
      <c r="A135" s="2">
        <v>2021000134</v>
      </c>
      <c r="B135" t="s">
        <v>152</v>
      </c>
      <c r="C135" s="3">
        <v>50</v>
      </c>
      <c r="D135" s="4">
        <v>70</v>
      </c>
      <c r="E135" s="5">
        <f t="shared" si="1"/>
        <v>20</v>
      </c>
    </row>
    <row r="136" spans="1:5" x14ac:dyDescent="0.3">
      <c r="A136" s="2">
        <v>2021000135</v>
      </c>
      <c r="B136" t="s">
        <v>153</v>
      </c>
      <c r="C136" s="3">
        <v>12</v>
      </c>
      <c r="D136" s="4">
        <v>35</v>
      </c>
      <c r="E136" s="5">
        <f t="shared" si="1"/>
        <v>23</v>
      </c>
    </row>
    <row r="137" spans="1:5" x14ac:dyDescent="0.3">
      <c r="A137" s="2">
        <v>2021000136</v>
      </c>
      <c r="B137" t="s">
        <v>154</v>
      </c>
      <c r="C137" s="3">
        <v>12</v>
      </c>
      <c r="D137" s="4">
        <v>35</v>
      </c>
      <c r="E137" s="5">
        <f t="shared" si="1"/>
        <v>23</v>
      </c>
    </row>
    <row r="138" spans="1:5" x14ac:dyDescent="0.3">
      <c r="A138" s="2">
        <v>2021000137</v>
      </c>
      <c r="B138" t="s">
        <v>155</v>
      </c>
      <c r="C138" s="3">
        <v>12</v>
      </c>
      <c r="D138" s="4">
        <v>35</v>
      </c>
      <c r="E138" s="5">
        <f t="shared" si="1"/>
        <v>23</v>
      </c>
    </row>
    <row r="139" spans="1:5" x14ac:dyDescent="0.3">
      <c r="A139" s="2">
        <v>2021000138</v>
      </c>
      <c r="B139" t="s">
        <v>156</v>
      </c>
      <c r="C139" s="3">
        <v>12</v>
      </c>
      <c r="D139" s="4">
        <v>35</v>
      </c>
      <c r="E139" s="5">
        <f t="shared" si="1"/>
        <v>23</v>
      </c>
    </row>
    <row r="140" spans="1:5" x14ac:dyDescent="0.3">
      <c r="A140" s="2">
        <v>2021000139</v>
      </c>
      <c r="B140" t="s">
        <v>157</v>
      </c>
      <c r="C140" s="3">
        <v>24</v>
      </c>
      <c r="D140" s="4">
        <v>0</v>
      </c>
      <c r="E140" s="5">
        <f t="shared" si="1"/>
        <v>-24</v>
      </c>
    </row>
    <row r="141" spans="1:5" x14ac:dyDescent="0.3">
      <c r="A141" s="2">
        <v>2021000140</v>
      </c>
      <c r="B141" t="s">
        <v>158</v>
      </c>
      <c r="C141" s="3">
        <v>24</v>
      </c>
      <c r="D141" s="4">
        <v>0</v>
      </c>
      <c r="E141" s="5">
        <f t="shared" si="1"/>
        <v>-24</v>
      </c>
    </row>
    <row r="142" spans="1:5" x14ac:dyDescent="0.3">
      <c r="A142" s="2">
        <v>2021000141</v>
      </c>
      <c r="B142" t="s">
        <v>159</v>
      </c>
      <c r="C142" s="3">
        <v>32</v>
      </c>
      <c r="D142" s="4">
        <v>0</v>
      </c>
      <c r="E142" s="5">
        <f t="shared" si="1"/>
        <v>-32</v>
      </c>
    </row>
    <row r="143" spans="1:5" x14ac:dyDescent="0.3">
      <c r="A143" s="2">
        <v>2021000142</v>
      </c>
      <c r="B143" t="s">
        <v>160</v>
      </c>
      <c r="C143" s="3">
        <v>55</v>
      </c>
      <c r="D143" s="4">
        <v>0</v>
      </c>
      <c r="E143" s="5">
        <f t="shared" si="1"/>
        <v>-55</v>
      </c>
    </row>
    <row r="144" spans="1:5" x14ac:dyDescent="0.3">
      <c r="A144" s="2">
        <v>2021000143</v>
      </c>
      <c r="B144" t="s">
        <v>161</v>
      </c>
      <c r="C144" s="3">
        <v>30</v>
      </c>
      <c r="D144" s="4">
        <v>60</v>
      </c>
      <c r="E144" s="5">
        <f t="shared" si="1"/>
        <v>30</v>
      </c>
    </row>
    <row r="145" spans="1:5" x14ac:dyDescent="0.3">
      <c r="A145" s="2">
        <v>2021000144</v>
      </c>
      <c r="B145" t="s">
        <v>162</v>
      </c>
      <c r="C145" s="3">
        <v>6</v>
      </c>
      <c r="D145" s="4">
        <v>10</v>
      </c>
      <c r="E145" s="5">
        <f t="shared" si="1"/>
        <v>4</v>
      </c>
    </row>
    <row r="146" spans="1:5" x14ac:dyDescent="0.3">
      <c r="A146" s="2">
        <v>2021000145</v>
      </c>
      <c r="B146" t="s">
        <v>329</v>
      </c>
      <c r="C146" s="3">
        <v>30</v>
      </c>
      <c r="D146" s="4">
        <v>60</v>
      </c>
      <c r="E146" s="5">
        <f t="shared" si="1"/>
        <v>30</v>
      </c>
    </row>
    <row r="147" spans="1:5" x14ac:dyDescent="0.3">
      <c r="A147" s="2">
        <v>2021000146</v>
      </c>
      <c r="B147" t="s">
        <v>163</v>
      </c>
      <c r="C147" s="3">
        <v>135</v>
      </c>
      <c r="D147" s="4">
        <v>360</v>
      </c>
      <c r="E147" s="5">
        <f t="shared" si="1"/>
        <v>225</v>
      </c>
    </row>
    <row r="148" spans="1:5" x14ac:dyDescent="0.3">
      <c r="A148" s="2">
        <v>2021000147</v>
      </c>
      <c r="B148" t="s">
        <v>164</v>
      </c>
      <c r="C148" s="3">
        <v>350</v>
      </c>
      <c r="D148" s="4">
        <v>550</v>
      </c>
      <c r="E148" s="5">
        <f t="shared" si="1"/>
        <v>200</v>
      </c>
    </row>
    <row r="149" spans="1:5" x14ac:dyDescent="0.3">
      <c r="A149" s="2">
        <v>2021000148</v>
      </c>
      <c r="B149" t="s">
        <v>165</v>
      </c>
      <c r="C149" s="3">
        <v>300</v>
      </c>
      <c r="D149" s="4">
        <v>550</v>
      </c>
      <c r="E149" s="5">
        <v>250</v>
      </c>
    </row>
    <row r="150" spans="1:5" x14ac:dyDescent="0.3">
      <c r="A150" s="2">
        <v>2021000149</v>
      </c>
      <c r="B150" t="s">
        <v>166</v>
      </c>
      <c r="C150" s="3">
        <v>70</v>
      </c>
      <c r="D150" s="4">
        <v>120</v>
      </c>
      <c r="E150" s="5">
        <f t="shared" si="1"/>
        <v>50</v>
      </c>
    </row>
    <row r="151" spans="1:5" x14ac:dyDescent="0.3">
      <c r="A151" s="2">
        <v>2021000150</v>
      </c>
      <c r="B151" t="s">
        <v>167</v>
      </c>
      <c r="C151" s="3">
        <v>70</v>
      </c>
      <c r="D151" s="4">
        <v>140</v>
      </c>
      <c r="E151" s="5">
        <v>70</v>
      </c>
    </row>
    <row r="152" spans="1:5" x14ac:dyDescent="0.3">
      <c r="A152" s="2">
        <v>2021000151</v>
      </c>
      <c r="B152" t="s">
        <v>168</v>
      </c>
      <c r="C152" s="3">
        <v>19</v>
      </c>
      <c r="D152" s="4">
        <v>50</v>
      </c>
      <c r="E152" s="5">
        <f t="shared" si="1"/>
        <v>31</v>
      </c>
    </row>
    <row r="153" spans="1:5" x14ac:dyDescent="0.3">
      <c r="A153" s="2">
        <v>2021000152</v>
      </c>
      <c r="B153" t="s">
        <v>169</v>
      </c>
      <c r="C153" s="3">
        <v>45</v>
      </c>
      <c r="D153" s="4">
        <v>90</v>
      </c>
      <c r="E153" s="5">
        <f t="shared" si="1"/>
        <v>45</v>
      </c>
    </row>
    <row r="154" spans="1:5" x14ac:dyDescent="0.3">
      <c r="A154" s="2">
        <v>2021000153</v>
      </c>
      <c r="B154" t="s">
        <v>170</v>
      </c>
      <c r="C154" s="3">
        <v>15</v>
      </c>
      <c r="D154" s="4">
        <v>25</v>
      </c>
      <c r="E154" s="5">
        <f t="shared" si="1"/>
        <v>10</v>
      </c>
    </row>
    <row r="155" spans="1:5" x14ac:dyDescent="0.3">
      <c r="A155" s="2">
        <v>2021000154</v>
      </c>
      <c r="B155" t="s">
        <v>171</v>
      </c>
      <c r="C155" s="3">
        <v>11</v>
      </c>
      <c r="D155" s="4">
        <v>25</v>
      </c>
      <c r="E155" s="5">
        <f t="shared" si="1"/>
        <v>14</v>
      </c>
    </row>
    <row r="156" spans="1:5" x14ac:dyDescent="0.3">
      <c r="A156" s="2">
        <v>2021000155</v>
      </c>
      <c r="B156" t="s">
        <v>172</v>
      </c>
      <c r="C156" s="3">
        <v>22</v>
      </c>
      <c r="D156" s="4">
        <v>60</v>
      </c>
      <c r="E156" s="5">
        <f t="shared" si="1"/>
        <v>38</v>
      </c>
    </row>
    <row r="157" spans="1:5" x14ac:dyDescent="0.3">
      <c r="A157" s="2">
        <v>2021000156</v>
      </c>
      <c r="B157" t="s">
        <v>173</v>
      </c>
      <c r="C157" s="3">
        <v>24</v>
      </c>
      <c r="D157" s="4">
        <v>60</v>
      </c>
      <c r="E157" s="5">
        <f t="shared" si="1"/>
        <v>36</v>
      </c>
    </row>
    <row r="158" spans="1:5" x14ac:dyDescent="0.3">
      <c r="A158" s="2">
        <v>2021000157</v>
      </c>
      <c r="B158" t="s">
        <v>368</v>
      </c>
      <c r="C158" s="3">
        <v>35</v>
      </c>
      <c r="D158" s="4">
        <v>60</v>
      </c>
      <c r="E158" s="5">
        <f t="shared" si="1"/>
        <v>25</v>
      </c>
    </row>
    <row r="159" spans="1:5" x14ac:dyDescent="0.3">
      <c r="A159" s="2">
        <v>2021000158</v>
      </c>
      <c r="B159" t="s">
        <v>175</v>
      </c>
      <c r="C159" s="3">
        <v>25</v>
      </c>
      <c r="D159" s="4">
        <v>40</v>
      </c>
      <c r="E159" s="5">
        <f t="shared" si="1"/>
        <v>15</v>
      </c>
    </row>
    <row r="160" spans="1:5" x14ac:dyDescent="0.3">
      <c r="A160" s="2">
        <v>2021000159</v>
      </c>
      <c r="B160" t="s">
        <v>302</v>
      </c>
      <c r="C160" s="3">
        <v>35</v>
      </c>
      <c r="D160" s="4">
        <v>80</v>
      </c>
      <c r="E160" s="5">
        <v>45</v>
      </c>
    </row>
    <row r="161" spans="1:5" x14ac:dyDescent="0.3">
      <c r="A161" s="2">
        <v>2021000160</v>
      </c>
      <c r="B161" t="s">
        <v>303</v>
      </c>
      <c r="C161" s="3">
        <v>40</v>
      </c>
      <c r="D161" s="4">
        <v>80</v>
      </c>
      <c r="E161" s="5">
        <v>40</v>
      </c>
    </row>
    <row r="162" spans="1:5" x14ac:dyDescent="0.3">
      <c r="A162" s="2">
        <v>2021000161</v>
      </c>
      <c r="B162" t="s">
        <v>178</v>
      </c>
      <c r="C162" s="3">
        <v>40</v>
      </c>
      <c r="D162" s="4">
        <v>80</v>
      </c>
      <c r="E162" s="5">
        <f t="shared" si="1"/>
        <v>40</v>
      </c>
    </row>
    <row r="163" spans="1:5" x14ac:dyDescent="0.3">
      <c r="A163" s="2">
        <v>2021000162</v>
      </c>
      <c r="B163" t="s">
        <v>179</v>
      </c>
      <c r="C163" s="3">
        <v>40</v>
      </c>
      <c r="D163" s="4">
        <v>80</v>
      </c>
      <c r="E163" s="5">
        <f t="shared" si="1"/>
        <v>40</v>
      </c>
    </row>
    <row r="164" spans="1:5" x14ac:dyDescent="0.3">
      <c r="A164" s="2">
        <v>2021000163</v>
      </c>
      <c r="B164" t="s">
        <v>327</v>
      </c>
      <c r="C164" s="3">
        <v>65</v>
      </c>
      <c r="D164" s="4">
        <v>130</v>
      </c>
      <c r="E164" s="5">
        <f t="shared" si="1"/>
        <v>65</v>
      </c>
    </row>
    <row r="165" spans="1:5" x14ac:dyDescent="0.3">
      <c r="A165" s="2">
        <v>2021000165</v>
      </c>
      <c r="B165" t="s">
        <v>181</v>
      </c>
      <c r="C165" s="3">
        <v>30</v>
      </c>
      <c r="D165" s="4">
        <v>70</v>
      </c>
      <c r="E165" s="5">
        <f t="shared" ref="E165:E225" si="2">D165-C165</f>
        <v>40</v>
      </c>
    </row>
    <row r="166" spans="1:5" x14ac:dyDescent="0.3">
      <c r="A166" s="2">
        <v>2021000166</v>
      </c>
      <c r="B166" t="s">
        <v>182</v>
      </c>
      <c r="C166" s="3">
        <v>35</v>
      </c>
      <c r="D166" s="4">
        <v>70</v>
      </c>
      <c r="E166" s="5">
        <f t="shared" si="2"/>
        <v>35</v>
      </c>
    </row>
    <row r="167" spans="1:5" x14ac:dyDescent="0.3">
      <c r="A167" s="2">
        <v>2021000167</v>
      </c>
      <c r="B167" t="s">
        <v>183</v>
      </c>
      <c r="C167" s="3">
        <v>35</v>
      </c>
      <c r="D167" s="4">
        <v>70</v>
      </c>
      <c r="E167" s="5">
        <f t="shared" si="2"/>
        <v>35</v>
      </c>
    </row>
    <row r="168" spans="1:5" x14ac:dyDescent="0.3">
      <c r="A168" s="2">
        <v>2021000168</v>
      </c>
      <c r="B168" t="s">
        <v>184</v>
      </c>
      <c r="C168" s="3">
        <v>35</v>
      </c>
      <c r="D168" s="4">
        <v>70</v>
      </c>
      <c r="E168" s="5">
        <f t="shared" si="2"/>
        <v>35</v>
      </c>
    </row>
    <row r="169" spans="1:5" x14ac:dyDescent="0.3">
      <c r="A169" s="2">
        <v>2021000169</v>
      </c>
      <c r="B169" t="s">
        <v>185</v>
      </c>
      <c r="C169" s="3">
        <v>140</v>
      </c>
      <c r="D169" s="4">
        <v>220</v>
      </c>
      <c r="E169" s="5">
        <f t="shared" si="2"/>
        <v>80</v>
      </c>
    </row>
    <row r="170" spans="1:5" x14ac:dyDescent="0.3">
      <c r="A170" s="2">
        <v>2021000170</v>
      </c>
      <c r="B170" t="s">
        <v>186</v>
      </c>
      <c r="C170" s="3">
        <v>200</v>
      </c>
      <c r="D170" s="4">
        <v>260</v>
      </c>
      <c r="E170" s="5">
        <f t="shared" si="2"/>
        <v>60</v>
      </c>
    </row>
    <row r="171" spans="1:5" x14ac:dyDescent="0.3">
      <c r="A171" s="2">
        <v>2021000171</v>
      </c>
      <c r="B171" t="s">
        <v>187</v>
      </c>
      <c r="C171" s="3">
        <v>240</v>
      </c>
      <c r="D171" s="4">
        <v>320</v>
      </c>
      <c r="E171" s="5">
        <f t="shared" si="2"/>
        <v>80</v>
      </c>
    </row>
    <row r="172" spans="1:5" x14ac:dyDescent="0.3">
      <c r="A172" s="2">
        <v>2021000172</v>
      </c>
      <c r="B172" t="s">
        <v>188</v>
      </c>
      <c r="C172" s="3">
        <v>27</v>
      </c>
      <c r="D172" s="4">
        <v>50</v>
      </c>
      <c r="E172" s="5">
        <f t="shared" si="2"/>
        <v>23</v>
      </c>
    </row>
    <row r="173" spans="1:5" x14ac:dyDescent="0.3">
      <c r="A173" s="2">
        <v>2021000173</v>
      </c>
      <c r="B173" t="s">
        <v>189</v>
      </c>
      <c r="C173" s="3">
        <v>9.5</v>
      </c>
      <c r="D173" s="4">
        <v>20</v>
      </c>
      <c r="E173" s="5">
        <f t="shared" si="2"/>
        <v>10.5</v>
      </c>
    </row>
    <row r="174" spans="1:5" x14ac:dyDescent="0.3">
      <c r="A174" s="2">
        <v>2021000174</v>
      </c>
      <c r="B174" t="s">
        <v>189</v>
      </c>
      <c r="C174" s="3">
        <v>8</v>
      </c>
      <c r="D174" s="4">
        <v>20</v>
      </c>
      <c r="E174" s="5">
        <f t="shared" si="2"/>
        <v>12</v>
      </c>
    </row>
    <row r="175" spans="1:5" x14ac:dyDescent="0.3">
      <c r="A175" s="2">
        <v>2021000175</v>
      </c>
      <c r="B175" t="s">
        <v>190</v>
      </c>
      <c r="C175" s="3">
        <v>9.5</v>
      </c>
      <c r="D175" s="4">
        <v>20</v>
      </c>
      <c r="E175" s="5">
        <f t="shared" si="2"/>
        <v>10.5</v>
      </c>
    </row>
    <row r="176" spans="1:5" x14ac:dyDescent="0.3">
      <c r="A176" s="2">
        <v>2021000176</v>
      </c>
      <c r="B176" t="s">
        <v>191</v>
      </c>
      <c r="C176" s="3">
        <v>9</v>
      </c>
      <c r="D176" s="4">
        <v>20</v>
      </c>
      <c r="E176" s="5">
        <f t="shared" si="2"/>
        <v>11</v>
      </c>
    </row>
    <row r="177" spans="1:5" x14ac:dyDescent="0.3">
      <c r="A177" s="2">
        <v>2021000177</v>
      </c>
      <c r="B177" t="s">
        <v>193</v>
      </c>
      <c r="C177" s="3">
        <v>65</v>
      </c>
      <c r="D177" s="4">
        <v>130</v>
      </c>
      <c r="E177" s="5">
        <f t="shared" si="2"/>
        <v>65</v>
      </c>
    </row>
    <row r="178" spans="1:5" x14ac:dyDescent="0.3">
      <c r="A178" s="2">
        <v>2021000178</v>
      </c>
      <c r="B178" t="s">
        <v>194</v>
      </c>
      <c r="C178" s="3">
        <v>58</v>
      </c>
      <c r="D178" s="4">
        <v>110</v>
      </c>
      <c r="E178" s="5">
        <f t="shared" si="2"/>
        <v>52</v>
      </c>
    </row>
    <row r="179" spans="1:5" x14ac:dyDescent="0.3">
      <c r="A179" s="2">
        <v>2021000179</v>
      </c>
      <c r="B179" t="s">
        <v>195</v>
      </c>
      <c r="C179" s="3">
        <v>1.5</v>
      </c>
      <c r="D179" s="5">
        <v>5</v>
      </c>
      <c r="E179" s="5">
        <f>D179-C179</f>
        <v>3.5</v>
      </c>
    </row>
    <row r="180" spans="1:5" x14ac:dyDescent="0.3">
      <c r="A180" s="2">
        <v>2021000180</v>
      </c>
      <c r="B180" t="s">
        <v>196</v>
      </c>
      <c r="C180" s="3">
        <v>1.5</v>
      </c>
      <c r="D180" s="5">
        <v>5</v>
      </c>
      <c r="E180" s="5">
        <f>D180-C180</f>
        <v>3.5</v>
      </c>
    </row>
    <row r="181" spans="1:5" x14ac:dyDescent="0.3">
      <c r="A181" s="2">
        <v>2021000181</v>
      </c>
      <c r="B181" t="s">
        <v>197</v>
      </c>
      <c r="C181" s="5">
        <v>1.5</v>
      </c>
      <c r="D181" s="5">
        <v>2.5</v>
      </c>
      <c r="E181" s="5">
        <f>D181-C181</f>
        <v>1</v>
      </c>
    </row>
    <row r="182" spans="1:5" x14ac:dyDescent="0.3">
      <c r="A182" s="2">
        <v>2021000182</v>
      </c>
      <c r="B182" t="s">
        <v>198</v>
      </c>
      <c r="C182" s="5">
        <v>1.5</v>
      </c>
      <c r="D182" s="5">
        <v>5</v>
      </c>
      <c r="E182" s="5">
        <f>D182-C182</f>
        <v>3.5</v>
      </c>
    </row>
    <row r="183" spans="1:5" x14ac:dyDescent="0.3">
      <c r="A183" s="2">
        <v>2021000183</v>
      </c>
      <c r="B183" t="s">
        <v>199</v>
      </c>
      <c r="C183" s="3">
        <v>3</v>
      </c>
      <c r="D183" s="5">
        <v>7</v>
      </c>
      <c r="E183" s="5">
        <f>D183-C183</f>
        <v>4</v>
      </c>
    </row>
    <row r="184" spans="1:5" x14ac:dyDescent="0.3">
      <c r="A184" s="2">
        <v>2021000184</v>
      </c>
      <c r="B184" t="s">
        <v>200</v>
      </c>
      <c r="C184" s="3">
        <v>95.23</v>
      </c>
      <c r="D184" s="4">
        <v>150</v>
      </c>
      <c r="E184" s="5">
        <f t="shared" si="2"/>
        <v>54.769999999999996</v>
      </c>
    </row>
    <row r="185" spans="1:5" x14ac:dyDescent="0.3">
      <c r="A185" s="2">
        <v>2021000185</v>
      </c>
      <c r="B185" t="s">
        <v>201</v>
      </c>
      <c r="C185" s="3">
        <v>120</v>
      </c>
      <c r="D185" s="4">
        <v>150</v>
      </c>
      <c r="E185" s="5">
        <v>30</v>
      </c>
    </row>
    <row r="186" spans="1:5" x14ac:dyDescent="0.3">
      <c r="A186" s="2">
        <v>2021000186</v>
      </c>
      <c r="B186" t="s">
        <v>202</v>
      </c>
      <c r="C186" s="3">
        <v>120</v>
      </c>
      <c r="D186" s="4">
        <v>185</v>
      </c>
      <c r="E186" s="5">
        <v>65</v>
      </c>
    </row>
    <row r="187" spans="1:5" x14ac:dyDescent="0.3">
      <c r="A187" s="2">
        <v>2021000187</v>
      </c>
      <c r="B187" t="s">
        <v>203</v>
      </c>
      <c r="C187" s="3">
        <v>130</v>
      </c>
      <c r="D187" s="4">
        <v>230</v>
      </c>
      <c r="E187" s="5">
        <v>100</v>
      </c>
    </row>
    <row r="188" spans="1:5" x14ac:dyDescent="0.3">
      <c r="A188" s="2">
        <v>2021000188</v>
      </c>
      <c r="B188" t="s">
        <v>204</v>
      </c>
      <c r="C188" s="3">
        <v>70</v>
      </c>
      <c r="D188" s="4">
        <v>120</v>
      </c>
      <c r="E188" s="5">
        <v>50</v>
      </c>
    </row>
    <row r="189" spans="1:5" x14ac:dyDescent="0.3">
      <c r="A189" s="2">
        <v>2021000189</v>
      </c>
      <c r="B189" t="s">
        <v>205</v>
      </c>
      <c r="C189" s="3">
        <v>70</v>
      </c>
      <c r="D189" s="4">
        <v>120</v>
      </c>
      <c r="E189" s="5">
        <v>50</v>
      </c>
    </row>
    <row r="190" spans="1:5" x14ac:dyDescent="0.3">
      <c r="A190" s="2">
        <v>2021000190</v>
      </c>
      <c r="B190" t="s">
        <v>206</v>
      </c>
      <c r="C190" s="3">
        <v>20</v>
      </c>
      <c r="D190" s="4">
        <v>40</v>
      </c>
      <c r="E190" s="5">
        <v>20</v>
      </c>
    </row>
    <row r="191" spans="1:5" x14ac:dyDescent="0.3">
      <c r="A191" s="2">
        <v>2021000191</v>
      </c>
      <c r="B191" t="s">
        <v>207</v>
      </c>
      <c r="C191" s="3">
        <v>75</v>
      </c>
      <c r="D191" s="4">
        <v>140</v>
      </c>
      <c r="E191" s="5">
        <v>65</v>
      </c>
    </row>
    <row r="192" spans="1:5" x14ac:dyDescent="0.3">
      <c r="A192" s="2">
        <v>2021000192</v>
      </c>
      <c r="B192" t="s">
        <v>208</v>
      </c>
      <c r="C192" s="3">
        <v>42</v>
      </c>
      <c r="D192" s="4">
        <v>70</v>
      </c>
      <c r="E192" s="5">
        <v>28</v>
      </c>
    </row>
    <row r="193" spans="1:5" x14ac:dyDescent="0.3">
      <c r="A193" s="2">
        <v>2021000193</v>
      </c>
      <c r="B193" t="s">
        <v>209</v>
      </c>
      <c r="C193" s="3">
        <v>100</v>
      </c>
      <c r="D193" s="4">
        <v>200</v>
      </c>
      <c r="E193" s="5">
        <v>100</v>
      </c>
    </row>
    <row r="194" spans="1:5" x14ac:dyDescent="0.3">
      <c r="A194" s="2">
        <v>2021000194</v>
      </c>
      <c r="B194" t="s">
        <v>210</v>
      </c>
      <c r="C194" s="3">
        <v>100</v>
      </c>
      <c r="D194" s="4">
        <v>200</v>
      </c>
      <c r="E194" s="5">
        <v>100</v>
      </c>
    </row>
    <row r="195" spans="1:5" x14ac:dyDescent="0.3">
      <c r="A195" s="2">
        <v>2021000195</v>
      </c>
      <c r="B195" t="s">
        <v>211</v>
      </c>
      <c r="C195" s="3">
        <v>85</v>
      </c>
      <c r="D195" s="4">
        <v>150</v>
      </c>
      <c r="E195" s="5">
        <v>65</v>
      </c>
    </row>
    <row r="196" spans="1:5" x14ac:dyDescent="0.3">
      <c r="A196" s="2">
        <v>2021000196</v>
      </c>
      <c r="B196" t="s">
        <v>212</v>
      </c>
      <c r="C196" s="3">
        <v>85</v>
      </c>
      <c r="D196" s="4">
        <v>150</v>
      </c>
      <c r="E196" s="5">
        <v>65</v>
      </c>
    </row>
    <row r="197" spans="1:5" x14ac:dyDescent="0.3">
      <c r="A197" s="2">
        <v>2021000197</v>
      </c>
      <c r="B197" t="s">
        <v>213</v>
      </c>
      <c r="C197" s="3">
        <v>90</v>
      </c>
      <c r="D197" s="4">
        <v>160</v>
      </c>
      <c r="E197" s="5">
        <v>70</v>
      </c>
    </row>
    <row r="198" spans="1:5" x14ac:dyDescent="0.3">
      <c r="A198" s="2">
        <v>2021000198</v>
      </c>
      <c r="B198" t="s">
        <v>214</v>
      </c>
      <c r="C198" s="3">
        <v>90</v>
      </c>
      <c r="D198" s="4">
        <v>160</v>
      </c>
      <c r="E198" s="5">
        <v>70</v>
      </c>
    </row>
    <row r="199" spans="1:5" x14ac:dyDescent="0.3">
      <c r="A199" s="2">
        <v>2021000199</v>
      </c>
      <c r="B199" t="s">
        <v>215</v>
      </c>
      <c r="C199" s="3">
        <v>0</v>
      </c>
      <c r="D199" s="4">
        <v>0</v>
      </c>
      <c r="E199" s="5">
        <f t="shared" si="2"/>
        <v>0</v>
      </c>
    </row>
    <row r="200" spans="1:5" x14ac:dyDescent="0.3">
      <c r="A200" s="2">
        <v>2021000200</v>
      </c>
      <c r="B200" t="s">
        <v>216</v>
      </c>
      <c r="C200" s="3">
        <v>8</v>
      </c>
      <c r="D200" s="4">
        <v>30</v>
      </c>
      <c r="E200" s="5">
        <v>22</v>
      </c>
    </row>
    <row r="201" spans="1:5" x14ac:dyDescent="0.3">
      <c r="A201" s="2">
        <v>2021000201</v>
      </c>
      <c r="B201" t="s">
        <v>217</v>
      </c>
      <c r="C201" s="3">
        <v>15</v>
      </c>
      <c r="D201" s="4">
        <v>30</v>
      </c>
      <c r="E201" s="5">
        <v>15</v>
      </c>
    </row>
    <row r="202" spans="1:5" x14ac:dyDescent="0.3">
      <c r="A202" s="2">
        <v>2021000202</v>
      </c>
      <c r="B202" t="s">
        <v>218</v>
      </c>
      <c r="C202" s="3">
        <v>0</v>
      </c>
      <c r="D202" s="4">
        <v>0</v>
      </c>
      <c r="E202" s="5">
        <f t="shared" si="2"/>
        <v>0</v>
      </c>
    </row>
    <row r="203" spans="1:5" x14ac:dyDescent="0.3">
      <c r="A203" s="2">
        <v>2021000203</v>
      </c>
      <c r="B203" t="s">
        <v>219</v>
      </c>
      <c r="C203" s="3">
        <v>0</v>
      </c>
      <c r="D203" s="4">
        <v>0</v>
      </c>
      <c r="E203" s="5">
        <f t="shared" si="2"/>
        <v>0</v>
      </c>
    </row>
    <row r="204" spans="1:5" x14ac:dyDescent="0.3">
      <c r="A204" s="2">
        <v>2021000204</v>
      </c>
      <c r="B204" t="s">
        <v>220</v>
      </c>
      <c r="C204" s="3">
        <v>0</v>
      </c>
      <c r="D204" s="4">
        <v>0</v>
      </c>
      <c r="E204" s="5">
        <f t="shared" si="2"/>
        <v>0</v>
      </c>
    </row>
    <row r="205" spans="1:5" x14ac:dyDescent="0.3">
      <c r="A205" s="2">
        <v>2021000205</v>
      </c>
      <c r="B205" t="s">
        <v>221</v>
      </c>
      <c r="C205" s="3">
        <v>35</v>
      </c>
      <c r="D205" s="4">
        <v>70</v>
      </c>
      <c r="E205" s="5">
        <v>35</v>
      </c>
    </row>
    <row r="206" spans="1:5" x14ac:dyDescent="0.3">
      <c r="A206" s="2">
        <v>2021000206</v>
      </c>
      <c r="B206" t="s">
        <v>222</v>
      </c>
      <c r="C206" s="3">
        <v>35</v>
      </c>
      <c r="D206" s="4">
        <v>70</v>
      </c>
      <c r="E206" s="5">
        <v>35</v>
      </c>
    </row>
    <row r="207" spans="1:5" x14ac:dyDescent="0.3">
      <c r="A207" s="2">
        <v>2021000207</v>
      </c>
      <c r="B207" t="s">
        <v>223</v>
      </c>
      <c r="C207" s="3">
        <v>0</v>
      </c>
      <c r="D207" s="4">
        <v>0</v>
      </c>
      <c r="E207" s="5">
        <f t="shared" si="2"/>
        <v>0</v>
      </c>
    </row>
    <row r="208" spans="1:5" x14ac:dyDescent="0.3">
      <c r="A208" s="2">
        <v>2021000208</v>
      </c>
      <c r="B208" t="s">
        <v>224</v>
      </c>
      <c r="C208" s="3">
        <v>35</v>
      </c>
      <c r="D208" s="4">
        <v>70</v>
      </c>
      <c r="E208" s="5">
        <f t="shared" si="2"/>
        <v>35</v>
      </c>
    </row>
    <row r="209" spans="1:5" x14ac:dyDescent="0.3">
      <c r="A209" s="2">
        <v>2021000209</v>
      </c>
      <c r="B209" t="s">
        <v>225</v>
      </c>
      <c r="C209" s="3">
        <v>200</v>
      </c>
      <c r="D209" s="4">
        <v>300</v>
      </c>
      <c r="E209" s="5">
        <v>100</v>
      </c>
    </row>
    <row r="210" spans="1:5" x14ac:dyDescent="0.3">
      <c r="A210" s="2">
        <v>2021000210</v>
      </c>
      <c r="B210" t="s">
        <v>226</v>
      </c>
      <c r="C210" s="3">
        <v>200</v>
      </c>
      <c r="D210" s="4">
        <v>300</v>
      </c>
      <c r="E210" s="5">
        <v>100</v>
      </c>
    </row>
    <row r="211" spans="1:5" x14ac:dyDescent="0.3">
      <c r="A211" s="2">
        <v>2021000211</v>
      </c>
      <c r="B211" t="s">
        <v>319</v>
      </c>
      <c r="C211" s="3">
        <v>35</v>
      </c>
      <c r="D211" s="4">
        <v>70</v>
      </c>
      <c r="E211" s="5">
        <v>35</v>
      </c>
    </row>
    <row r="212" spans="1:5" x14ac:dyDescent="0.3">
      <c r="A212" s="2">
        <v>2021000212</v>
      </c>
      <c r="B212" t="s">
        <v>356</v>
      </c>
      <c r="C212" s="3">
        <v>4</v>
      </c>
      <c r="D212" s="4">
        <v>15</v>
      </c>
      <c r="E212" s="5">
        <v>10.1</v>
      </c>
    </row>
    <row r="213" spans="1:5" x14ac:dyDescent="0.3">
      <c r="A213" s="2">
        <v>2021000213</v>
      </c>
      <c r="B213" t="s">
        <v>228</v>
      </c>
      <c r="C213" s="3">
        <v>4.05</v>
      </c>
      <c r="D213" s="4">
        <v>0</v>
      </c>
      <c r="E213" s="5">
        <f t="shared" si="2"/>
        <v>-4.05</v>
      </c>
    </row>
    <row r="214" spans="1:5" x14ac:dyDescent="0.3">
      <c r="A214" s="2">
        <v>2021000214</v>
      </c>
      <c r="B214" t="s">
        <v>229</v>
      </c>
      <c r="C214" s="3">
        <v>7.6</v>
      </c>
      <c r="D214" s="4">
        <v>0</v>
      </c>
      <c r="E214" s="5">
        <f t="shared" si="2"/>
        <v>-7.6</v>
      </c>
    </row>
    <row r="215" spans="1:5" x14ac:dyDescent="0.3">
      <c r="A215" s="2">
        <v>2021000215</v>
      </c>
      <c r="B215" t="s">
        <v>230</v>
      </c>
      <c r="C215" s="3">
        <v>10</v>
      </c>
      <c r="D215" s="4">
        <v>0</v>
      </c>
      <c r="E215" s="5">
        <f t="shared" si="2"/>
        <v>-10</v>
      </c>
    </row>
    <row r="216" spans="1:5" x14ac:dyDescent="0.3">
      <c r="A216" s="2">
        <v>2021000216</v>
      </c>
      <c r="B216" t="s">
        <v>231</v>
      </c>
      <c r="C216" s="3">
        <v>10</v>
      </c>
      <c r="D216" s="4">
        <v>0</v>
      </c>
      <c r="E216" s="5">
        <f t="shared" si="2"/>
        <v>-10</v>
      </c>
    </row>
    <row r="217" spans="1:5" x14ac:dyDescent="0.3">
      <c r="A217" s="2">
        <v>2021000217</v>
      </c>
      <c r="B217" t="s">
        <v>232</v>
      </c>
      <c r="C217" s="3">
        <v>10</v>
      </c>
      <c r="D217" s="4">
        <v>0</v>
      </c>
      <c r="E217" s="5">
        <f t="shared" si="2"/>
        <v>-10</v>
      </c>
    </row>
    <row r="218" spans="1:5" x14ac:dyDescent="0.3">
      <c r="A218" s="2">
        <v>2021000218</v>
      </c>
      <c r="B218" t="s">
        <v>233</v>
      </c>
      <c r="C218" s="3">
        <v>10</v>
      </c>
      <c r="D218" s="4">
        <v>0</v>
      </c>
      <c r="E218" s="5">
        <f t="shared" si="2"/>
        <v>-10</v>
      </c>
    </row>
    <row r="219" spans="1:5" x14ac:dyDescent="0.3">
      <c r="A219" s="2">
        <v>2021000219</v>
      </c>
      <c r="B219" t="s">
        <v>234</v>
      </c>
      <c r="C219" s="3">
        <v>10</v>
      </c>
      <c r="D219" s="4">
        <v>0</v>
      </c>
      <c r="E219" s="5">
        <f t="shared" si="2"/>
        <v>-10</v>
      </c>
    </row>
    <row r="220" spans="1:5" x14ac:dyDescent="0.3">
      <c r="A220" s="2">
        <v>2021000220</v>
      </c>
      <c r="B220" t="s">
        <v>235</v>
      </c>
      <c r="C220" s="3">
        <v>10</v>
      </c>
      <c r="D220" s="4">
        <v>0</v>
      </c>
      <c r="E220" s="5">
        <f t="shared" si="2"/>
        <v>-10</v>
      </c>
    </row>
    <row r="221" spans="1:5" x14ac:dyDescent="0.3">
      <c r="A221" s="2">
        <v>2021000221</v>
      </c>
      <c r="B221" t="s">
        <v>236</v>
      </c>
      <c r="C221" s="3">
        <v>25.15</v>
      </c>
      <c r="D221" s="4">
        <v>0</v>
      </c>
      <c r="E221" s="5">
        <f t="shared" si="2"/>
        <v>-25.15</v>
      </c>
    </row>
    <row r="222" spans="1:5" x14ac:dyDescent="0.3">
      <c r="A222" s="2">
        <v>2021000222</v>
      </c>
      <c r="B222" t="s">
        <v>237</v>
      </c>
      <c r="C222" s="3">
        <v>20.149999999999999</v>
      </c>
      <c r="D222" s="4">
        <v>0</v>
      </c>
      <c r="E222" s="5">
        <f t="shared" si="2"/>
        <v>-20.149999999999999</v>
      </c>
    </row>
    <row r="223" spans="1:5" x14ac:dyDescent="0.3">
      <c r="A223" s="2">
        <v>2021000223</v>
      </c>
      <c r="B223" t="s">
        <v>238</v>
      </c>
      <c r="C223" s="3">
        <v>9</v>
      </c>
      <c r="D223" s="4">
        <v>20</v>
      </c>
      <c r="E223" s="5">
        <f t="shared" si="2"/>
        <v>11</v>
      </c>
    </row>
    <row r="224" spans="1:5" x14ac:dyDescent="0.3">
      <c r="A224" s="2">
        <v>2021000224</v>
      </c>
      <c r="B224" t="s">
        <v>239</v>
      </c>
      <c r="C224" s="3">
        <v>5</v>
      </c>
      <c r="D224" s="4">
        <v>10</v>
      </c>
      <c r="E224" s="5">
        <f t="shared" si="2"/>
        <v>5</v>
      </c>
    </row>
    <row r="225" spans="1:5" x14ac:dyDescent="0.3">
      <c r="A225" s="2">
        <v>2021000225</v>
      </c>
      <c r="B225" t="s">
        <v>240</v>
      </c>
      <c r="C225" s="3">
        <v>10</v>
      </c>
      <c r="D225" s="4">
        <v>20</v>
      </c>
      <c r="E225" s="5">
        <f t="shared" si="2"/>
        <v>10</v>
      </c>
    </row>
    <row r="226" spans="1:5" x14ac:dyDescent="0.3">
      <c r="A226" s="2">
        <v>2021000226</v>
      </c>
      <c r="B226" t="s">
        <v>247</v>
      </c>
      <c r="C226" s="3">
        <v>35</v>
      </c>
      <c r="D226" s="4">
        <v>70</v>
      </c>
      <c r="E226" s="5">
        <v>35</v>
      </c>
    </row>
    <row r="227" spans="1:5" x14ac:dyDescent="0.3">
      <c r="A227" s="2">
        <v>2021000227</v>
      </c>
      <c r="B227" t="s">
        <v>266</v>
      </c>
      <c r="C227" s="3">
        <v>35</v>
      </c>
      <c r="D227" s="4">
        <v>70</v>
      </c>
      <c r="E227" s="5">
        <v>35</v>
      </c>
    </row>
    <row r="228" spans="1:5" x14ac:dyDescent="0.3">
      <c r="A228" s="2">
        <v>2021000228</v>
      </c>
      <c r="B228" t="s">
        <v>267</v>
      </c>
      <c r="C228" s="3">
        <v>28.1</v>
      </c>
      <c r="D228" s="4">
        <v>55</v>
      </c>
      <c r="E228" s="5">
        <v>26.9</v>
      </c>
    </row>
    <row r="229" spans="1:5" x14ac:dyDescent="0.3">
      <c r="A229" s="2">
        <v>2021000229</v>
      </c>
      <c r="B229" t="s">
        <v>268</v>
      </c>
      <c r="C229" s="3">
        <v>28.1</v>
      </c>
      <c r="D229" s="4">
        <v>55</v>
      </c>
      <c r="E229" s="5">
        <v>26.9</v>
      </c>
    </row>
    <row r="230" spans="1:5" x14ac:dyDescent="0.3">
      <c r="A230" s="2">
        <v>2021000230</v>
      </c>
      <c r="B230" t="s">
        <v>269</v>
      </c>
      <c r="C230" s="3">
        <v>12.1</v>
      </c>
      <c r="D230" s="4">
        <v>25</v>
      </c>
      <c r="E230" s="5">
        <v>12.9</v>
      </c>
    </row>
    <row r="231" spans="1:5" x14ac:dyDescent="0.3">
      <c r="A231" s="2">
        <v>2021000231</v>
      </c>
      <c r="B231" t="s">
        <v>270</v>
      </c>
      <c r="C231" s="3">
        <v>12.1</v>
      </c>
      <c r="D231" s="4">
        <v>25</v>
      </c>
      <c r="E231" s="5">
        <v>12.9</v>
      </c>
    </row>
    <row r="232" spans="1:5" x14ac:dyDescent="0.3">
      <c r="A232" s="2">
        <v>2021000232</v>
      </c>
      <c r="B232" t="s">
        <v>253</v>
      </c>
      <c r="C232" s="3">
        <v>55</v>
      </c>
      <c r="D232" s="4">
        <v>90</v>
      </c>
      <c r="E232" s="5">
        <v>35</v>
      </c>
    </row>
    <row r="233" spans="1:5" x14ac:dyDescent="0.3">
      <c r="A233" s="2">
        <v>2021000233</v>
      </c>
      <c r="B233" t="s">
        <v>254</v>
      </c>
      <c r="C233" s="3">
        <v>55</v>
      </c>
      <c r="D233" s="4">
        <v>90</v>
      </c>
      <c r="E233" s="5">
        <v>35</v>
      </c>
    </row>
    <row r="234" spans="1:5" x14ac:dyDescent="0.3">
      <c r="A234" s="2">
        <v>2021000234</v>
      </c>
      <c r="B234" t="s">
        <v>271</v>
      </c>
      <c r="C234" s="3">
        <v>110</v>
      </c>
      <c r="D234" s="4">
        <v>230</v>
      </c>
      <c r="E234" s="5">
        <v>120</v>
      </c>
    </row>
    <row r="235" spans="1:5" x14ac:dyDescent="0.3">
      <c r="A235" s="2">
        <v>2021000235</v>
      </c>
      <c r="B235" t="s">
        <v>259</v>
      </c>
      <c r="C235" s="3">
        <v>110</v>
      </c>
      <c r="D235" s="4">
        <v>230</v>
      </c>
      <c r="E235" s="5">
        <v>120</v>
      </c>
    </row>
    <row r="236" spans="1:5" x14ac:dyDescent="0.3">
      <c r="A236" s="2">
        <v>2021000236</v>
      </c>
      <c r="B236" t="s">
        <v>272</v>
      </c>
      <c r="C236" s="3">
        <v>110</v>
      </c>
      <c r="D236" s="4">
        <v>250</v>
      </c>
      <c r="E236" s="5">
        <v>140</v>
      </c>
    </row>
    <row r="237" spans="1:5" x14ac:dyDescent="0.3">
      <c r="A237" s="2">
        <v>2021000237</v>
      </c>
      <c r="B237" t="s">
        <v>273</v>
      </c>
      <c r="C237" s="3">
        <v>29.8</v>
      </c>
      <c r="D237" s="4">
        <v>40</v>
      </c>
      <c r="E237" s="5">
        <v>10.199999999999999</v>
      </c>
    </row>
    <row r="238" spans="1:5" x14ac:dyDescent="0.3">
      <c r="A238" s="2">
        <v>2021000238</v>
      </c>
      <c r="B238" t="s">
        <v>274</v>
      </c>
      <c r="C238" s="3">
        <v>27.8</v>
      </c>
      <c r="D238" s="4">
        <v>40</v>
      </c>
      <c r="E238" s="5">
        <v>12.2</v>
      </c>
    </row>
    <row r="239" spans="1:5" x14ac:dyDescent="0.3">
      <c r="A239" s="2">
        <v>2021000239</v>
      </c>
      <c r="B239" t="s">
        <v>275</v>
      </c>
      <c r="C239" s="3">
        <v>25</v>
      </c>
      <c r="D239" s="4">
        <v>50</v>
      </c>
      <c r="E239" s="5">
        <v>25</v>
      </c>
    </row>
    <row r="240" spans="1:5" x14ac:dyDescent="0.3">
      <c r="A240" s="2">
        <v>2021000240</v>
      </c>
      <c r="B240" t="s">
        <v>276</v>
      </c>
      <c r="C240" s="3">
        <v>25</v>
      </c>
      <c r="D240" s="4">
        <v>50</v>
      </c>
      <c r="E240" s="5">
        <v>25</v>
      </c>
    </row>
    <row r="241" spans="1:5" x14ac:dyDescent="0.3">
      <c r="A241" s="2">
        <v>2021000241</v>
      </c>
      <c r="B241" t="s">
        <v>277</v>
      </c>
      <c r="C241" s="3">
        <v>22</v>
      </c>
      <c r="D241" s="4">
        <v>40</v>
      </c>
      <c r="E241" s="5">
        <v>18</v>
      </c>
    </row>
    <row r="242" spans="1:5" x14ac:dyDescent="0.3">
      <c r="A242" s="2">
        <v>2021000242</v>
      </c>
      <c r="B242" t="s">
        <v>278</v>
      </c>
      <c r="C242" s="3">
        <v>26</v>
      </c>
      <c r="D242" s="4">
        <v>50</v>
      </c>
      <c r="E242" s="5">
        <v>24</v>
      </c>
    </row>
    <row r="243" spans="1:5" x14ac:dyDescent="0.3">
      <c r="A243" s="2">
        <v>2021000243</v>
      </c>
      <c r="B243" t="s">
        <v>279</v>
      </c>
      <c r="C243" s="3">
        <v>18</v>
      </c>
      <c r="D243" s="4">
        <v>40</v>
      </c>
      <c r="E243" s="5">
        <v>22</v>
      </c>
    </row>
    <row r="244" spans="1:5" x14ac:dyDescent="0.3">
      <c r="A244" s="2">
        <v>2021000244</v>
      </c>
      <c r="B244" t="s">
        <v>280</v>
      </c>
      <c r="C244" s="3">
        <v>20</v>
      </c>
      <c r="D244" s="4">
        <v>45</v>
      </c>
      <c r="E244" s="5">
        <v>25</v>
      </c>
    </row>
    <row r="245" spans="1:5" x14ac:dyDescent="0.3">
      <c r="A245" s="2">
        <v>2021000245</v>
      </c>
      <c r="B245" t="s">
        <v>332</v>
      </c>
      <c r="C245" s="3">
        <v>77</v>
      </c>
      <c r="D245" s="4">
        <v>140</v>
      </c>
      <c r="E245" s="5">
        <v>63</v>
      </c>
    </row>
    <row r="246" spans="1:5" x14ac:dyDescent="0.3">
      <c r="A246" s="2">
        <v>2021000246</v>
      </c>
      <c r="B246" t="s">
        <v>282</v>
      </c>
      <c r="C246" s="3">
        <v>70</v>
      </c>
      <c r="D246" s="4">
        <v>120</v>
      </c>
      <c r="E246" s="5">
        <v>50</v>
      </c>
    </row>
    <row r="247" spans="1:5" x14ac:dyDescent="0.3">
      <c r="A247" s="2">
        <v>2021000247</v>
      </c>
      <c r="B247" t="s">
        <v>283</v>
      </c>
      <c r="C247" s="3">
        <v>55</v>
      </c>
      <c r="D247" s="4">
        <v>110</v>
      </c>
      <c r="E247" s="5">
        <v>55</v>
      </c>
    </row>
    <row r="248" spans="1:5" x14ac:dyDescent="0.3">
      <c r="A248" s="2">
        <v>2021000248</v>
      </c>
      <c r="B248" t="s">
        <v>284</v>
      </c>
      <c r="C248" s="3">
        <v>95</v>
      </c>
      <c r="D248" s="4">
        <v>150</v>
      </c>
      <c r="E248" s="5">
        <v>55</v>
      </c>
    </row>
    <row r="249" spans="1:5" x14ac:dyDescent="0.3">
      <c r="A249" s="2">
        <v>2021000249</v>
      </c>
      <c r="B249" t="s">
        <v>285</v>
      </c>
      <c r="C249" s="3">
        <v>95</v>
      </c>
      <c r="D249" s="4">
        <v>150</v>
      </c>
      <c r="E249" s="5">
        <v>55</v>
      </c>
    </row>
    <row r="250" spans="1:5" x14ac:dyDescent="0.3">
      <c r="A250" s="2">
        <v>2021000250</v>
      </c>
      <c r="B250" t="s">
        <v>286</v>
      </c>
      <c r="C250" s="3">
        <v>7</v>
      </c>
      <c r="D250" s="4">
        <v>15</v>
      </c>
      <c r="E250" s="5">
        <v>8</v>
      </c>
    </row>
    <row r="251" spans="1:5" x14ac:dyDescent="0.3">
      <c r="A251" s="2">
        <v>2021000251</v>
      </c>
      <c r="B251" t="s">
        <v>287</v>
      </c>
      <c r="C251" s="3">
        <v>70</v>
      </c>
      <c r="D251" s="4">
        <v>120</v>
      </c>
      <c r="E251" s="5">
        <v>50</v>
      </c>
    </row>
    <row r="252" spans="1:5" x14ac:dyDescent="0.3">
      <c r="A252" s="2">
        <v>2021000252</v>
      </c>
      <c r="B252" t="s">
        <v>288</v>
      </c>
      <c r="C252" s="3">
        <v>16</v>
      </c>
      <c r="D252" s="4">
        <v>30</v>
      </c>
      <c r="E252" s="5">
        <v>14</v>
      </c>
    </row>
    <row r="253" spans="1:5" x14ac:dyDescent="0.3">
      <c r="A253" s="2">
        <v>2021000253</v>
      </c>
      <c r="B253" t="s">
        <v>289</v>
      </c>
      <c r="C253" s="3">
        <v>545</v>
      </c>
      <c r="D253" s="4">
        <v>800</v>
      </c>
      <c r="E253" s="5">
        <v>255</v>
      </c>
    </row>
    <row r="254" spans="1:5" x14ac:dyDescent="0.3">
      <c r="A254" s="2">
        <v>2021000254</v>
      </c>
      <c r="B254" t="s">
        <v>297</v>
      </c>
      <c r="C254" s="3">
        <v>7.5</v>
      </c>
      <c r="D254" s="4">
        <v>15</v>
      </c>
      <c r="E254" s="5">
        <v>7.5</v>
      </c>
    </row>
    <row r="255" spans="1:5" x14ac:dyDescent="0.3">
      <c r="A255" s="2">
        <v>2021000255</v>
      </c>
      <c r="B255" t="s">
        <v>298</v>
      </c>
      <c r="C255" s="3">
        <v>7</v>
      </c>
      <c r="D255" s="4">
        <v>15</v>
      </c>
      <c r="E255" s="5">
        <v>8</v>
      </c>
    </row>
    <row r="256" spans="1:5" x14ac:dyDescent="0.3">
      <c r="A256" s="2">
        <v>2021000256</v>
      </c>
      <c r="B256" t="s">
        <v>299</v>
      </c>
      <c r="C256" s="3">
        <v>25</v>
      </c>
      <c r="D256" s="4">
        <v>70</v>
      </c>
      <c r="E256" s="5">
        <v>45</v>
      </c>
    </row>
    <row r="257" spans="1:5" x14ac:dyDescent="0.3">
      <c r="A257" s="2">
        <v>2021000257</v>
      </c>
      <c r="B257" t="s">
        <v>360</v>
      </c>
      <c r="C257" s="3">
        <v>570</v>
      </c>
      <c r="D257" s="4">
        <v>770</v>
      </c>
      <c r="E257" s="5">
        <v>200</v>
      </c>
    </row>
    <row r="258" spans="1:5" x14ac:dyDescent="0.3">
      <c r="A258" s="2">
        <v>2021000258</v>
      </c>
      <c r="B258" t="s">
        <v>304</v>
      </c>
      <c r="C258" s="3">
        <v>17</v>
      </c>
      <c r="D258" s="4">
        <v>40</v>
      </c>
      <c r="E258" s="5">
        <v>23</v>
      </c>
    </row>
    <row r="259" spans="1:5" x14ac:dyDescent="0.3">
      <c r="A259" s="2">
        <v>2021000259</v>
      </c>
      <c r="B259" t="s">
        <v>305</v>
      </c>
      <c r="C259" s="3">
        <v>7</v>
      </c>
      <c r="D259" s="4">
        <v>15</v>
      </c>
      <c r="E259" s="5">
        <v>8</v>
      </c>
    </row>
    <row r="260" spans="1:5" x14ac:dyDescent="0.3">
      <c r="A260" s="2">
        <v>2021000260</v>
      </c>
      <c r="B260" t="s">
        <v>306</v>
      </c>
      <c r="C260" s="3">
        <v>9</v>
      </c>
      <c r="D260" s="4">
        <v>20</v>
      </c>
      <c r="E260" s="5">
        <v>11</v>
      </c>
    </row>
    <row r="261" spans="1:5" x14ac:dyDescent="0.3">
      <c r="A261" s="2">
        <v>2021000261</v>
      </c>
      <c r="B261" t="s">
        <v>307</v>
      </c>
      <c r="C261" s="3">
        <v>30</v>
      </c>
      <c r="D261" s="4">
        <v>60</v>
      </c>
      <c r="E261" s="5">
        <v>30</v>
      </c>
    </row>
    <row r="262" spans="1:5" x14ac:dyDescent="0.3">
      <c r="A262" s="2">
        <v>2021000262</v>
      </c>
      <c r="B262" t="s">
        <v>308</v>
      </c>
      <c r="C262" s="3">
        <v>32</v>
      </c>
      <c r="D262" s="4">
        <v>70</v>
      </c>
      <c r="E262" s="5">
        <v>38</v>
      </c>
    </row>
    <row r="263" spans="1:5" x14ac:dyDescent="0.3">
      <c r="A263" s="2">
        <v>2021000263</v>
      </c>
      <c r="B263" t="s">
        <v>309</v>
      </c>
      <c r="C263" s="3">
        <v>28</v>
      </c>
      <c r="D263" s="4">
        <v>70</v>
      </c>
      <c r="E263" s="5">
        <v>42</v>
      </c>
    </row>
    <row r="264" spans="1:5" x14ac:dyDescent="0.3">
      <c r="A264" s="2">
        <v>2021000264</v>
      </c>
      <c r="B264" t="s">
        <v>312</v>
      </c>
      <c r="C264" s="3">
        <v>16</v>
      </c>
      <c r="D264" s="4">
        <v>35</v>
      </c>
      <c r="E264" s="5">
        <v>19</v>
      </c>
    </row>
    <row r="265" spans="1:5" x14ac:dyDescent="0.3">
      <c r="A265" s="2">
        <v>2021000265</v>
      </c>
      <c r="B265" t="s">
        <v>313</v>
      </c>
      <c r="C265" s="3">
        <v>16</v>
      </c>
      <c r="D265" s="4">
        <v>35</v>
      </c>
      <c r="E265" s="5">
        <v>19</v>
      </c>
    </row>
    <row r="266" spans="1:5" x14ac:dyDescent="0.3">
      <c r="A266" s="2">
        <v>2021000266</v>
      </c>
      <c r="B266" t="s">
        <v>314</v>
      </c>
      <c r="C266" s="3">
        <v>16</v>
      </c>
      <c r="D266" s="4">
        <v>35</v>
      </c>
      <c r="E266" s="5">
        <v>19</v>
      </c>
    </row>
    <row r="267" spans="1:5" x14ac:dyDescent="0.3">
      <c r="A267" s="2">
        <v>2021000267</v>
      </c>
      <c r="B267" t="s">
        <v>315</v>
      </c>
      <c r="C267" s="3">
        <v>17</v>
      </c>
      <c r="D267" s="4">
        <v>30</v>
      </c>
      <c r="E267" s="5">
        <v>13</v>
      </c>
    </row>
    <row r="268" spans="1:5" x14ac:dyDescent="0.3">
      <c r="A268" s="2">
        <v>2021000268</v>
      </c>
      <c r="B268" t="s">
        <v>317</v>
      </c>
      <c r="C268" s="3">
        <v>140</v>
      </c>
      <c r="D268" s="4">
        <v>280</v>
      </c>
      <c r="E268" s="5">
        <v>140</v>
      </c>
    </row>
    <row r="269" spans="1:5" x14ac:dyDescent="0.3">
      <c r="A269" s="2">
        <v>2021000269</v>
      </c>
      <c r="B269" t="s">
        <v>318</v>
      </c>
      <c r="C269" s="3">
        <v>50</v>
      </c>
      <c r="D269" s="4">
        <v>150</v>
      </c>
      <c r="E269" s="5">
        <v>100</v>
      </c>
    </row>
    <row r="270" spans="1:5" x14ac:dyDescent="0.3">
      <c r="A270" s="2">
        <v>2021000270</v>
      </c>
      <c r="B270" t="s">
        <v>320</v>
      </c>
      <c r="C270" s="3">
        <v>22</v>
      </c>
      <c r="D270" s="4">
        <v>40</v>
      </c>
      <c r="E270" s="5">
        <v>18</v>
      </c>
    </row>
    <row r="271" spans="1:5" x14ac:dyDescent="0.3">
      <c r="A271" s="2">
        <v>2021000271</v>
      </c>
      <c r="B271" t="s">
        <v>321</v>
      </c>
      <c r="C271" s="3">
        <v>6.9</v>
      </c>
      <c r="D271" s="4">
        <v>30</v>
      </c>
      <c r="E271" s="5">
        <v>23.1</v>
      </c>
    </row>
    <row r="272" spans="1:5" x14ac:dyDescent="0.3">
      <c r="A272" s="2">
        <v>2021000272</v>
      </c>
      <c r="B272" t="s">
        <v>322</v>
      </c>
      <c r="C272" s="3">
        <v>25</v>
      </c>
      <c r="D272" s="4">
        <v>50</v>
      </c>
      <c r="E272" s="5">
        <v>25</v>
      </c>
    </row>
    <row r="273" spans="1:5" x14ac:dyDescent="0.3">
      <c r="A273" s="2">
        <v>2021000273</v>
      </c>
      <c r="B273" t="s">
        <v>323</v>
      </c>
      <c r="C273" s="3">
        <v>20</v>
      </c>
      <c r="D273" s="4">
        <v>40</v>
      </c>
      <c r="E273" s="5">
        <v>20</v>
      </c>
    </row>
    <row r="274" spans="1:5" x14ac:dyDescent="0.3">
      <c r="A274" s="2">
        <v>2021000274</v>
      </c>
      <c r="B274" t="s">
        <v>324</v>
      </c>
      <c r="C274" s="3">
        <v>15</v>
      </c>
      <c r="D274" s="4">
        <v>30</v>
      </c>
      <c r="E274" s="5">
        <v>15</v>
      </c>
    </row>
    <row r="275" spans="1:5" x14ac:dyDescent="0.3">
      <c r="A275" s="2">
        <v>2021000275</v>
      </c>
      <c r="B275" t="s">
        <v>325</v>
      </c>
      <c r="C275" s="3">
        <v>10</v>
      </c>
      <c r="D275" s="4">
        <v>20</v>
      </c>
      <c r="E275" s="5">
        <v>10</v>
      </c>
    </row>
    <row r="276" spans="1:5" x14ac:dyDescent="0.3">
      <c r="A276" s="2">
        <v>2021000276</v>
      </c>
      <c r="B276" t="s">
        <v>326</v>
      </c>
      <c r="C276" s="3">
        <v>10</v>
      </c>
      <c r="D276" s="4">
        <v>20</v>
      </c>
      <c r="E276" s="5">
        <v>10</v>
      </c>
    </row>
    <row r="277" spans="1:5" x14ac:dyDescent="0.3">
      <c r="A277" s="2">
        <v>2021000277</v>
      </c>
      <c r="B277" t="s">
        <v>328</v>
      </c>
      <c r="C277" s="3">
        <v>21</v>
      </c>
      <c r="D277" s="4">
        <v>35</v>
      </c>
      <c r="E277" s="5">
        <v>18</v>
      </c>
    </row>
    <row r="278" spans="1:5" x14ac:dyDescent="0.3">
      <c r="A278" s="2">
        <v>2021000278</v>
      </c>
      <c r="B278" t="s">
        <v>330</v>
      </c>
      <c r="C278" s="3">
        <v>35</v>
      </c>
      <c r="D278" s="4">
        <v>70</v>
      </c>
      <c r="E278" s="5">
        <v>35</v>
      </c>
    </row>
    <row r="279" spans="1:5" x14ac:dyDescent="0.3">
      <c r="A279" s="2">
        <v>2021000279</v>
      </c>
      <c r="B279" t="s">
        <v>331</v>
      </c>
      <c r="C279" s="3">
        <v>35</v>
      </c>
      <c r="D279" s="4">
        <v>75</v>
      </c>
      <c r="E279" s="5">
        <v>40</v>
      </c>
    </row>
    <row r="280" spans="1:5" x14ac:dyDescent="0.3">
      <c r="A280" s="2">
        <v>2021000280</v>
      </c>
      <c r="B280" t="s">
        <v>333</v>
      </c>
      <c r="C280" s="3">
        <v>77</v>
      </c>
      <c r="D280" s="4">
        <v>140</v>
      </c>
      <c r="E280" s="5">
        <v>63</v>
      </c>
    </row>
    <row r="281" spans="1:5" x14ac:dyDescent="0.3">
      <c r="A281" s="2">
        <v>2021000281</v>
      </c>
      <c r="B281" t="s">
        <v>334</v>
      </c>
      <c r="C281" s="3">
        <v>77</v>
      </c>
      <c r="D281" s="4">
        <v>140</v>
      </c>
      <c r="E281" s="5">
        <v>63</v>
      </c>
    </row>
    <row r="282" spans="1:5" x14ac:dyDescent="0.3">
      <c r="A282" s="2">
        <v>2021000282</v>
      </c>
      <c r="B282" t="s">
        <v>335</v>
      </c>
      <c r="C282" s="3">
        <v>77</v>
      </c>
      <c r="D282" s="4">
        <v>140</v>
      </c>
      <c r="E282" s="5">
        <v>63</v>
      </c>
    </row>
    <row r="283" spans="1:5" x14ac:dyDescent="0.3">
      <c r="A283" s="2">
        <v>2021000283</v>
      </c>
      <c r="B283" t="s">
        <v>336</v>
      </c>
      <c r="C283" s="3">
        <v>20</v>
      </c>
      <c r="D283" s="4">
        <v>50</v>
      </c>
      <c r="E283" s="5">
        <v>30</v>
      </c>
    </row>
    <row r="284" spans="1:5" x14ac:dyDescent="0.3">
      <c r="A284" s="2">
        <v>2021000284</v>
      </c>
      <c r="B284" t="s">
        <v>337</v>
      </c>
      <c r="C284" s="3">
        <v>20</v>
      </c>
      <c r="D284" s="4">
        <v>50</v>
      </c>
      <c r="E284" s="5">
        <v>30</v>
      </c>
    </row>
    <row r="285" spans="1:5" x14ac:dyDescent="0.3">
      <c r="A285" s="2">
        <v>2021000285</v>
      </c>
      <c r="B285" t="s">
        <v>338</v>
      </c>
      <c r="C285" s="3">
        <v>20</v>
      </c>
      <c r="D285" s="4">
        <v>50</v>
      </c>
      <c r="E285" s="5">
        <v>30</v>
      </c>
    </row>
    <row r="286" spans="1:5" x14ac:dyDescent="0.3">
      <c r="A286" s="2">
        <v>2021000286</v>
      </c>
      <c r="B286" t="s">
        <v>341</v>
      </c>
      <c r="C286" s="3">
        <v>16</v>
      </c>
      <c r="D286" s="4">
        <v>40</v>
      </c>
      <c r="E286" s="5">
        <v>24</v>
      </c>
    </row>
    <row r="287" spans="1:5" x14ac:dyDescent="0.3">
      <c r="A287" s="2">
        <v>2021000287</v>
      </c>
      <c r="B287" t="s">
        <v>342</v>
      </c>
      <c r="C287" s="3">
        <v>16</v>
      </c>
      <c r="D287" s="4">
        <v>40</v>
      </c>
      <c r="E287" s="5">
        <v>24</v>
      </c>
    </row>
    <row r="288" spans="1:5" x14ac:dyDescent="0.3">
      <c r="A288" s="2">
        <v>2021000288</v>
      </c>
      <c r="B288" t="s">
        <v>344</v>
      </c>
      <c r="C288" s="3">
        <v>200</v>
      </c>
      <c r="D288" s="4">
        <v>290</v>
      </c>
      <c r="E288" s="5">
        <v>90</v>
      </c>
    </row>
    <row r="289" spans="1:5" x14ac:dyDescent="0.3">
      <c r="A289" s="2">
        <v>2021000289</v>
      </c>
      <c r="B289" t="s">
        <v>345</v>
      </c>
      <c r="C289" s="3">
        <v>22</v>
      </c>
      <c r="D289" s="4">
        <v>40</v>
      </c>
      <c r="E289" s="5">
        <v>18</v>
      </c>
    </row>
    <row r="290" spans="1:5" x14ac:dyDescent="0.3">
      <c r="A290" s="2">
        <v>2021000290</v>
      </c>
      <c r="B290" t="s">
        <v>346</v>
      </c>
      <c r="C290" s="3">
        <v>50</v>
      </c>
      <c r="D290" s="4">
        <v>90</v>
      </c>
      <c r="E290" s="5">
        <v>40</v>
      </c>
    </row>
    <row r="291" spans="1:5" x14ac:dyDescent="0.3">
      <c r="A291" s="2">
        <v>2021000291</v>
      </c>
      <c r="B291" t="s">
        <v>347</v>
      </c>
      <c r="C291" s="3">
        <v>42</v>
      </c>
      <c r="D291" s="4">
        <v>90</v>
      </c>
      <c r="E291" s="5">
        <v>48</v>
      </c>
    </row>
    <row r="292" spans="1:5" x14ac:dyDescent="0.3">
      <c r="A292" s="2">
        <v>2021000292</v>
      </c>
      <c r="B292" t="s">
        <v>348</v>
      </c>
      <c r="C292" s="3">
        <v>25</v>
      </c>
      <c r="D292" s="4">
        <v>50</v>
      </c>
      <c r="E292" s="5">
        <v>25</v>
      </c>
    </row>
    <row r="293" spans="1:5" x14ac:dyDescent="0.3">
      <c r="A293" s="2">
        <v>2021000293</v>
      </c>
      <c r="B293" t="s">
        <v>349</v>
      </c>
      <c r="C293" s="3">
        <v>25</v>
      </c>
      <c r="D293" s="4">
        <v>50</v>
      </c>
      <c r="E293" s="5">
        <v>25</v>
      </c>
    </row>
    <row r="294" spans="1:5" x14ac:dyDescent="0.3">
      <c r="A294" s="2">
        <v>2021000294</v>
      </c>
      <c r="B294" t="s">
        <v>350</v>
      </c>
      <c r="C294" s="3">
        <v>25</v>
      </c>
      <c r="D294" s="4">
        <v>50</v>
      </c>
      <c r="E294" s="5">
        <v>25</v>
      </c>
    </row>
    <row r="295" spans="1:5" x14ac:dyDescent="0.3">
      <c r="A295" s="2">
        <v>2021000295</v>
      </c>
      <c r="B295" t="s">
        <v>351</v>
      </c>
      <c r="C295" s="3">
        <v>25</v>
      </c>
      <c r="D295" s="4">
        <v>50</v>
      </c>
      <c r="E295" s="5">
        <v>25</v>
      </c>
    </row>
    <row r="296" spans="1:5" x14ac:dyDescent="0.3">
      <c r="A296" s="2">
        <v>2021000296</v>
      </c>
      <c r="B296" t="s">
        <v>352</v>
      </c>
      <c r="C296" s="3">
        <v>25</v>
      </c>
      <c r="D296" s="4">
        <v>50</v>
      </c>
      <c r="E296" s="5">
        <v>25</v>
      </c>
    </row>
    <row r="297" spans="1:5" x14ac:dyDescent="0.3">
      <c r="A297" s="2">
        <v>2021000297</v>
      </c>
      <c r="B297" t="s">
        <v>353</v>
      </c>
      <c r="C297" s="3">
        <v>25</v>
      </c>
      <c r="D297" s="4">
        <v>50</v>
      </c>
      <c r="E297" s="5">
        <v>25</v>
      </c>
    </row>
    <row r="298" spans="1:5" x14ac:dyDescent="0.3">
      <c r="A298" s="2">
        <v>2021000298</v>
      </c>
      <c r="B298" t="s">
        <v>354</v>
      </c>
      <c r="C298" s="3">
        <v>250</v>
      </c>
      <c r="D298" s="4">
        <v>350</v>
      </c>
      <c r="E298" s="5">
        <v>100</v>
      </c>
    </row>
    <row r="299" spans="1:5" x14ac:dyDescent="0.3">
      <c r="A299" s="2">
        <v>2021000299</v>
      </c>
      <c r="B299" t="s">
        <v>355</v>
      </c>
      <c r="C299" s="3">
        <v>50</v>
      </c>
      <c r="D299" s="4">
        <v>250</v>
      </c>
      <c r="E299" s="5">
        <v>200</v>
      </c>
    </row>
    <row r="300" spans="1:5" x14ac:dyDescent="0.3">
      <c r="A300" s="2">
        <v>2021000300</v>
      </c>
      <c r="B300" t="s">
        <v>357</v>
      </c>
      <c r="C300" s="3">
        <v>4</v>
      </c>
      <c r="D300" s="4">
        <v>15</v>
      </c>
      <c r="E300" s="5">
        <v>11</v>
      </c>
    </row>
    <row r="301" spans="1:5" x14ac:dyDescent="0.3">
      <c r="A301" s="2">
        <v>2021000301</v>
      </c>
      <c r="B301" t="s">
        <v>358</v>
      </c>
      <c r="C301" s="3">
        <v>27</v>
      </c>
      <c r="D301" s="4">
        <v>50</v>
      </c>
      <c r="E301" s="5">
        <v>23</v>
      </c>
    </row>
    <row r="302" spans="1:5" x14ac:dyDescent="0.3">
      <c r="A302" s="2">
        <v>2021000302</v>
      </c>
      <c r="B302" t="s">
        <v>359</v>
      </c>
      <c r="C302" s="3">
        <v>30</v>
      </c>
      <c r="D302" s="4">
        <v>80</v>
      </c>
      <c r="E302" s="5">
        <v>50</v>
      </c>
    </row>
    <row r="303" spans="1:5" x14ac:dyDescent="0.3">
      <c r="A303" s="2">
        <v>2021000303</v>
      </c>
      <c r="B303" t="s">
        <v>363</v>
      </c>
      <c r="C303" s="3">
        <v>30</v>
      </c>
      <c r="D303" s="4">
        <v>150</v>
      </c>
      <c r="E303" s="5">
        <v>240</v>
      </c>
    </row>
    <row r="304" spans="1:5" x14ac:dyDescent="0.3">
      <c r="A304" s="2">
        <v>2021000304</v>
      </c>
      <c r="B304" t="s">
        <v>362</v>
      </c>
      <c r="C304" s="3">
        <v>190</v>
      </c>
      <c r="D304" s="4">
        <v>270</v>
      </c>
      <c r="E304" s="5">
        <v>80</v>
      </c>
    </row>
    <row r="305" spans="1:5" x14ac:dyDescent="0.3">
      <c r="A305" s="2">
        <v>2021000305</v>
      </c>
      <c r="B305" t="s">
        <v>364</v>
      </c>
      <c r="C305" s="3">
        <v>30</v>
      </c>
      <c r="D305" s="4">
        <v>65</v>
      </c>
      <c r="E305" s="5">
        <v>35</v>
      </c>
    </row>
    <row r="306" spans="1:5" x14ac:dyDescent="0.3">
      <c r="A306" s="2">
        <v>2021000306</v>
      </c>
      <c r="B306" t="s">
        <v>365</v>
      </c>
      <c r="C306" s="3">
        <v>105</v>
      </c>
      <c r="D306" s="4">
        <v>200</v>
      </c>
      <c r="E306" s="5">
        <v>95</v>
      </c>
    </row>
    <row r="307" spans="1:5" x14ac:dyDescent="0.3">
      <c r="A307" s="2">
        <v>2021000307</v>
      </c>
      <c r="B307" t="s">
        <v>369</v>
      </c>
      <c r="C307" s="3">
        <v>35</v>
      </c>
      <c r="D307" s="4">
        <v>60</v>
      </c>
      <c r="E307" s="5">
        <v>25</v>
      </c>
    </row>
    <row r="308" spans="1:5" x14ac:dyDescent="0.3">
      <c r="A308" s="2">
        <v>2021000308</v>
      </c>
      <c r="B308" t="s">
        <v>370</v>
      </c>
      <c r="C308" s="3">
        <v>35</v>
      </c>
      <c r="D308" s="4">
        <v>60</v>
      </c>
      <c r="E308" s="5">
        <v>25</v>
      </c>
    </row>
    <row r="309" spans="1:5" x14ac:dyDescent="0.3">
      <c r="A309" s="2">
        <v>2021000309</v>
      </c>
      <c r="B309" t="s">
        <v>371</v>
      </c>
      <c r="C309" s="3">
        <v>35</v>
      </c>
      <c r="D309" s="4">
        <v>60</v>
      </c>
      <c r="E309" s="5">
        <v>25</v>
      </c>
    </row>
    <row r="310" spans="1:5" x14ac:dyDescent="0.3">
      <c r="A310" s="2">
        <v>2021000310</v>
      </c>
      <c r="B310" t="s">
        <v>373</v>
      </c>
      <c r="C310" s="3">
        <v>35</v>
      </c>
      <c r="D310" s="4">
        <v>60</v>
      </c>
      <c r="E310" s="5">
        <v>25</v>
      </c>
    </row>
    <row r="311" spans="1:5" x14ac:dyDescent="0.3">
      <c r="A311" s="2">
        <v>2021000311</v>
      </c>
      <c r="B311" t="s">
        <v>372</v>
      </c>
      <c r="C311" s="3">
        <v>35</v>
      </c>
      <c r="D311" s="4">
        <v>60</v>
      </c>
      <c r="E311" s="5">
        <v>25</v>
      </c>
    </row>
    <row r="312" spans="1:5" x14ac:dyDescent="0.3">
      <c r="A312" s="2">
        <v>2021000312</v>
      </c>
      <c r="B312" t="s">
        <v>374</v>
      </c>
      <c r="C312" s="3">
        <v>35</v>
      </c>
      <c r="D312" s="4">
        <v>60</v>
      </c>
      <c r="E312" s="5">
        <v>25</v>
      </c>
    </row>
    <row r="313" spans="1:5" x14ac:dyDescent="0.3">
      <c r="A313" s="2">
        <v>2021000313</v>
      </c>
      <c r="B313" t="s">
        <v>375</v>
      </c>
      <c r="C313" s="3">
        <v>20</v>
      </c>
      <c r="D313" s="4">
        <v>40</v>
      </c>
      <c r="E313" s="5">
        <v>20</v>
      </c>
    </row>
    <row r="314" spans="1:5" x14ac:dyDescent="0.3">
      <c r="A314" s="2">
        <v>2021000314</v>
      </c>
      <c r="B314" t="s">
        <v>376</v>
      </c>
      <c r="C314" s="3">
        <v>20</v>
      </c>
      <c r="D314" s="4">
        <v>40</v>
      </c>
      <c r="E314" s="5">
        <v>20</v>
      </c>
    </row>
    <row r="315" spans="1:5" x14ac:dyDescent="0.3">
      <c r="A315" s="2">
        <v>2021000315</v>
      </c>
      <c r="B315" t="s">
        <v>377</v>
      </c>
      <c r="C315" s="3">
        <v>20</v>
      </c>
      <c r="D315" s="4">
        <v>40</v>
      </c>
      <c r="E315" s="5">
        <v>20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J162"/>
  <sheetViews>
    <sheetView topLeftCell="A7" workbookViewId="0">
      <selection sqref="A1:F1048576"/>
    </sheetView>
  </sheetViews>
  <sheetFormatPr defaultRowHeight="14.4" x14ac:dyDescent="0.3"/>
  <cols>
    <col min="1" max="1" width="18.6640625" style="10" customWidth="1"/>
    <col min="2" max="2" width="27.88671875" style="11" customWidth="1"/>
    <col min="3" max="3" width="8.6640625" style="8" customWidth="1"/>
    <col min="4" max="4" width="11.88671875" style="12" customWidth="1"/>
    <col min="5" max="5" width="11.5546875" style="11" customWidth="1"/>
    <col min="6" max="6" width="13.109375" style="12" customWidth="1"/>
  </cols>
  <sheetData>
    <row r="1" spans="1:10" x14ac:dyDescent="0.3">
      <c r="A1" s="13" t="s">
        <v>17</v>
      </c>
      <c r="B1" s="14" t="s">
        <v>3</v>
      </c>
      <c r="C1" s="14" t="s">
        <v>11</v>
      </c>
      <c r="D1" s="14" t="s">
        <v>4</v>
      </c>
      <c r="E1" s="15" t="s">
        <v>5</v>
      </c>
      <c r="F1" s="14" t="s">
        <v>9</v>
      </c>
      <c r="G1" s="1" t="s">
        <v>18</v>
      </c>
    </row>
    <row r="2" spans="1:10" x14ac:dyDescent="0.3">
      <c r="A2" s="10">
        <v>2021000304</v>
      </c>
      <c r="B2" s="11" t="s">
        <v>362</v>
      </c>
      <c r="C2" s="8">
        <v>1</v>
      </c>
      <c r="D2" s="12">
        <v>190</v>
      </c>
      <c r="E2" s="9">
        <v>44410</v>
      </c>
      <c r="F2" s="12">
        <v>190</v>
      </c>
      <c r="G2">
        <v>1</v>
      </c>
    </row>
    <row r="3" spans="1:10" x14ac:dyDescent="0.3">
      <c r="A3" s="10">
        <v>2021000076</v>
      </c>
      <c r="B3" s="11" t="s">
        <v>301</v>
      </c>
      <c r="C3" s="8">
        <v>3</v>
      </c>
      <c r="D3" s="12">
        <v>95</v>
      </c>
      <c r="E3" s="9">
        <v>44410</v>
      </c>
      <c r="F3" s="12">
        <v>285</v>
      </c>
      <c r="G3">
        <v>2</v>
      </c>
    </row>
    <row r="4" spans="1:10" x14ac:dyDescent="0.3">
      <c r="A4" s="10">
        <v>2021000080</v>
      </c>
      <c r="B4" s="11" t="s">
        <v>98</v>
      </c>
      <c r="C4" s="8">
        <v>-2</v>
      </c>
      <c r="D4" s="12">
        <v>115</v>
      </c>
      <c r="E4" s="9">
        <v>44411</v>
      </c>
      <c r="F4" s="12">
        <v>-230</v>
      </c>
      <c r="G4">
        <v>3</v>
      </c>
    </row>
    <row r="5" spans="1:10" x14ac:dyDescent="0.3">
      <c r="A5" s="10">
        <v>2021000303</v>
      </c>
      <c r="B5" s="11" t="s">
        <v>363</v>
      </c>
      <c r="C5" s="8">
        <v>1</v>
      </c>
      <c r="D5" s="12">
        <v>30</v>
      </c>
      <c r="E5" s="9">
        <v>44411</v>
      </c>
      <c r="F5" s="12">
        <v>30</v>
      </c>
      <c r="G5">
        <v>4</v>
      </c>
    </row>
    <row r="6" spans="1:10" x14ac:dyDescent="0.3">
      <c r="A6" s="10">
        <v>2021000169</v>
      </c>
      <c r="B6" s="11" t="s">
        <v>185</v>
      </c>
      <c r="C6" s="8">
        <v>2</v>
      </c>
      <c r="D6" s="12">
        <v>140</v>
      </c>
      <c r="E6" s="9">
        <v>44411</v>
      </c>
      <c r="F6" s="12">
        <v>280</v>
      </c>
      <c r="G6">
        <v>5</v>
      </c>
    </row>
    <row r="7" spans="1:10" x14ac:dyDescent="0.3">
      <c r="A7" s="10">
        <v>2021000080</v>
      </c>
      <c r="B7" s="11" t="s">
        <v>98</v>
      </c>
      <c r="C7" s="8">
        <v>-3</v>
      </c>
      <c r="D7" s="12">
        <v>115</v>
      </c>
      <c r="E7" s="9">
        <v>44412</v>
      </c>
      <c r="F7" s="12">
        <v>-345</v>
      </c>
      <c r="G7">
        <v>6</v>
      </c>
    </row>
    <row r="8" spans="1:10" x14ac:dyDescent="0.3">
      <c r="A8" s="10">
        <v>2021000103</v>
      </c>
      <c r="B8" s="11" t="s">
        <v>121</v>
      </c>
      <c r="C8" s="8">
        <v>-1</v>
      </c>
      <c r="D8" s="12">
        <v>23</v>
      </c>
      <c r="E8" s="9">
        <v>44412</v>
      </c>
      <c r="F8" s="12">
        <v>-23</v>
      </c>
      <c r="G8">
        <v>7</v>
      </c>
    </row>
    <row r="9" spans="1:10" x14ac:dyDescent="0.3">
      <c r="A9" s="10">
        <v>2021000169</v>
      </c>
      <c r="B9" s="11" t="s">
        <v>185</v>
      </c>
      <c r="C9" s="8">
        <v>1</v>
      </c>
      <c r="D9" s="12">
        <v>140</v>
      </c>
      <c r="E9" s="9">
        <v>44414</v>
      </c>
      <c r="F9" s="12">
        <v>140</v>
      </c>
      <c r="G9">
        <v>8</v>
      </c>
    </row>
    <row r="10" spans="1:10" x14ac:dyDescent="0.3">
      <c r="A10" s="10">
        <v>2021000080</v>
      </c>
      <c r="B10" s="11" t="s">
        <v>98</v>
      </c>
      <c r="C10" s="8">
        <v>-1</v>
      </c>
      <c r="D10" s="12">
        <v>115</v>
      </c>
      <c r="E10" s="9">
        <v>44414</v>
      </c>
      <c r="F10" s="12">
        <v>-115</v>
      </c>
      <c r="G10">
        <v>9</v>
      </c>
    </row>
    <row r="11" spans="1:10" x14ac:dyDescent="0.3">
      <c r="A11" s="10">
        <v>2021000277</v>
      </c>
      <c r="B11" s="11" t="s">
        <v>328</v>
      </c>
      <c r="C11" s="8">
        <v>15</v>
      </c>
      <c r="D11" s="12">
        <v>17</v>
      </c>
      <c r="E11" s="9">
        <v>44414</v>
      </c>
      <c r="F11" s="12">
        <v>255</v>
      </c>
      <c r="G11">
        <v>10</v>
      </c>
      <c r="H11" s="53"/>
      <c r="I11" s="53"/>
      <c r="J11" s="53"/>
    </row>
    <row r="12" spans="1:10" x14ac:dyDescent="0.3">
      <c r="A12" s="10">
        <v>2021000305</v>
      </c>
      <c r="B12" s="11" t="s">
        <v>364</v>
      </c>
      <c r="C12" s="8">
        <v>1</v>
      </c>
      <c r="D12" s="12">
        <v>30</v>
      </c>
      <c r="E12" s="9">
        <v>44415</v>
      </c>
      <c r="F12" s="12">
        <v>30</v>
      </c>
      <c r="G12">
        <v>11</v>
      </c>
    </row>
    <row r="13" spans="1:10" x14ac:dyDescent="0.3">
      <c r="A13" s="10">
        <v>2021000306</v>
      </c>
      <c r="B13" s="11" t="s">
        <v>365</v>
      </c>
      <c r="C13" s="8">
        <v>2</v>
      </c>
      <c r="D13" s="12">
        <v>105</v>
      </c>
      <c r="E13" s="9">
        <v>44415</v>
      </c>
      <c r="F13" s="12">
        <v>210</v>
      </c>
      <c r="G13">
        <v>12</v>
      </c>
    </row>
    <row r="14" spans="1:10" x14ac:dyDescent="0.3">
      <c r="A14" s="10">
        <v>2021000194</v>
      </c>
      <c r="B14" s="11" t="s">
        <v>210</v>
      </c>
      <c r="C14" s="8">
        <v>1</v>
      </c>
      <c r="D14" s="12">
        <v>100</v>
      </c>
      <c r="E14" s="9">
        <v>44417</v>
      </c>
      <c r="F14" s="12">
        <v>100</v>
      </c>
      <c r="G14">
        <v>13</v>
      </c>
    </row>
    <row r="15" spans="1:10" x14ac:dyDescent="0.3">
      <c r="A15" s="10">
        <v>2021000193</v>
      </c>
      <c r="B15" s="11" t="s">
        <v>209</v>
      </c>
      <c r="C15" s="8">
        <v>1</v>
      </c>
      <c r="D15" s="12">
        <v>100</v>
      </c>
      <c r="E15" s="9">
        <v>44417</v>
      </c>
      <c r="F15" s="12">
        <v>100</v>
      </c>
      <c r="G15">
        <v>14</v>
      </c>
    </row>
    <row r="16" spans="1:10" x14ac:dyDescent="0.3">
      <c r="A16" s="10">
        <v>2021000198</v>
      </c>
      <c r="B16" s="11" t="s">
        <v>214</v>
      </c>
      <c r="C16" s="8">
        <v>2</v>
      </c>
      <c r="D16" s="12">
        <v>90</v>
      </c>
      <c r="E16" s="9">
        <v>44417</v>
      </c>
      <c r="F16" s="12">
        <v>180</v>
      </c>
      <c r="G16">
        <v>15</v>
      </c>
    </row>
    <row r="17" spans="1:7" x14ac:dyDescent="0.3">
      <c r="A17" s="10">
        <v>2021000062</v>
      </c>
      <c r="B17" s="11" t="s">
        <v>80</v>
      </c>
      <c r="C17" s="8">
        <v>3</v>
      </c>
      <c r="D17" s="12">
        <v>15</v>
      </c>
      <c r="E17" s="9">
        <v>44417</v>
      </c>
      <c r="F17" s="12">
        <v>45</v>
      </c>
      <c r="G17">
        <v>16</v>
      </c>
    </row>
    <row r="18" spans="1:7" x14ac:dyDescent="0.3">
      <c r="A18" s="10">
        <v>2021000069</v>
      </c>
      <c r="B18" s="11" t="s">
        <v>87</v>
      </c>
      <c r="C18" s="8">
        <v>-2</v>
      </c>
      <c r="D18" s="12">
        <v>18</v>
      </c>
      <c r="E18" s="9">
        <v>44417</v>
      </c>
      <c r="F18" s="12">
        <v>-36</v>
      </c>
      <c r="G18">
        <v>17</v>
      </c>
    </row>
    <row r="19" spans="1:7" x14ac:dyDescent="0.3">
      <c r="A19" s="10">
        <v>2021000117</v>
      </c>
      <c r="B19" s="11" t="s">
        <v>135</v>
      </c>
      <c r="C19" s="8">
        <v>10</v>
      </c>
      <c r="D19" s="12">
        <v>45</v>
      </c>
      <c r="E19" s="9">
        <v>44417</v>
      </c>
      <c r="F19" s="12">
        <v>450</v>
      </c>
      <c r="G19">
        <v>18</v>
      </c>
    </row>
    <row r="20" spans="1:7" x14ac:dyDescent="0.3">
      <c r="A20" s="10">
        <v>2021000097</v>
      </c>
      <c r="B20" s="11" t="s">
        <v>115</v>
      </c>
      <c r="C20" s="8">
        <v>10</v>
      </c>
      <c r="D20" s="12">
        <v>25</v>
      </c>
      <c r="E20" s="9">
        <v>44417</v>
      </c>
      <c r="F20" s="12">
        <v>250</v>
      </c>
      <c r="G20">
        <v>19</v>
      </c>
    </row>
    <row r="21" spans="1:7" x14ac:dyDescent="0.3">
      <c r="A21" s="10">
        <v>2021000098</v>
      </c>
      <c r="B21" s="11" t="s">
        <v>116</v>
      </c>
      <c r="C21" s="8">
        <v>10</v>
      </c>
      <c r="D21" s="12">
        <v>20</v>
      </c>
      <c r="E21" s="9">
        <v>44417</v>
      </c>
      <c r="F21" s="12">
        <v>200</v>
      </c>
      <c r="G21">
        <v>20</v>
      </c>
    </row>
    <row r="22" spans="1:7" x14ac:dyDescent="0.3">
      <c r="A22" s="10">
        <v>2021000105</v>
      </c>
      <c r="B22" s="11" t="s">
        <v>123</v>
      </c>
      <c r="C22" s="8">
        <v>5</v>
      </c>
      <c r="D22" s="12">
        <v>22</v>
      </c>
      <c r="E22" s="9">
        <v>44417</v>
      </c>
      <c r="F22" s="12">
        <v>110</v>
      </c>
      <c r="G22">
        <v>21</v>
      </c>
    </row>
    <row r="23" spans="1:7" x14ac:dyDescent="0.3">
      <c r="A23" s="10">
        <v>2021000103</v>
      </c>
      <c r="B23" s="11" t="s">
        <v>121</v>
      </c>
      <c r="C23" s="8">
        <v>8</v>
      </c>
      <c r="D23" s="12">
        <v>23</v>
      </c>
      <c r="E23" s="9">
        <v>44417</v>
      </c>
      <c r="F23" s="12">
        <v>184</v>
      </c>
      <c r="G23">
        <v>22</v>
      </c>
    </row>
    <row r="24" spans="1:7" x14ac:dyDescent="0.3">
      <c r="A24" s="10">
        <v>2021000159</v>
      </c>
      <c r="B24" s="11" t="s">
        <v>302</v>
      </c>
      <c r="C24" s="8">
        <v>5</v>
      </c>
      <c r="D24" s="12">
        <v>35</v>
      </c>
      <c r="E24" s="9">
        <v>44418</v>
      </c>
      <c r="F24" s="12">
        <v>175</v>
      </c>
      <c r="G24">
        <v>23</v>
      </c>
    </row>
    <row r="25" spans="1:7" x14ac:dyDescent="0.3">
      <c r="E25" s="9"/>
    </row>
    <row r="26" spans="1:7" x14ac:dyDescent="0.3">
      <c r="E26" s="9"/>
    </row>
    <row r="27" spans="1:7" x14ac:dyDescent="0.3">
      <c r="E27" s="9"/>
    </row>
    <row r="28" spans="1:7" x14ac:dyDescent="0.3">
      <c r="E28" s="9"/>
    </row>
    <row r="29" spans="1:7" x14ac:dyDescent="0.3">
      <c r="E29" s="9"/>
    </row>
    <row r="30" spans="1:7" x14ac:dyDescent="0.3">
      <c r="E30" s="9"/>
    </row>
    <row r="31" spans="1:7" x14ac:dyDescent="0.3">
      <c r="E31" s="9"/>
    </row>
    <row r="32" spans="1:7" x14ac:dyDescent="0.3">
      <c r="E32" s="9"/>
    </row>
    <row r="33" spans="5:5" x14ac:dyDescent="0.3">
      <c r="E33" s="9"/>
    </row>
    <row r="34" spans="5:5" x14ac:dyDescent="0.3">
      <c r="E34" s="9"/>
    </row>
    <row r="35" spans="5:5" x14ac:dyDescent="0.3">
      <c r="E35" s="9"/>
    </row>
    <row r="36" spans="5:5" x14ac:dyDescent="0.3">
      <c r="E36" s="9"/>
    </row>
    <row r="37" spans="5:5" x14ac:dyDescent="0.3">
      <c r="E37" s="9"/>
    </row>
    <row r="38" spans="5:5" x14ac:dyDescent="0.3">
      <c r="E38" s="9"/>
    </row>
    <row r="39" spans="5:5" x14ac:dyDescent="0.3">
      <c r="E39" s="9"/>
    </row>
    <row r="40" spans="5:5" x14ac:dyDescent="0.3">
      <c r="E40" s="9"/>
    </row>
    <row r="41" spans="5:5" x14ac:dyDescent="0.3">
      <c r="E41" s="9"/>
    </row>
    <row r="42" spans="5:5" x14ac:dyDescent="0.3">
      <c r="E42" s="9"/>
    </row>
    <row r="43" spans="5:5" x14ac:dyDescent="0.3">
      <c r="E43" s="9"/>
    </row>
    <row r="44" spans="5:5" x14ac:dyDescent="0.3">
      <c r="E44" s="9"/>
    </row>
    <row r="45" spans="5:5" x14ac:dyDescent="0.3">
      <c r="E45" s="9"/>
    </row>
    <row r="46" spans="5:5" x14ac:dyDescent="0.3">
      <c r="E46" s="9"/>
    </row>
    <row r="47" spans="5:5" x14ac:dyDescent="0.3">
      <c r="E47" s="9"/>
    </row>
    <row r="48" spans="5:5" x14ac:dyDescent="0.3">
      <c r="E48" s="9"/>
    </row>
    <row r="49" spans="5:5" x14ac:dyDescent="0.3">
      <c r="E49" s="9"/>
    </row>
    <row r="50" spans="5:5" x14ac:dyDescent="0.3">
      <c r="E50" s="9"/>
    </row>
    <row r="51" spans="5:5" x14ac:dyDescent="0.3">
      <c r="E51" s="9"/>
    </row>
    <row r="52" spans="5:5" x14ac:dyDescent="0.3">
      <c r="E52" s="9"/>
    </row>
    <row r="53" spans="5:5" x14ac:dyDescent="0.3">
      <c r="E53" s="9"/>
    </row>
    <row r="54" spans="5:5" x14ac:dyDescent="0.3">
      <c r="E54" s="9"/>
    </row>
    <row r="55" spans="5:5" x14ac:dyDescent="0.3">
      <c r="E55" s="9"/>
    </row>
    <row r="56" spans="5:5" x14ac:dyDescent="0.3">
      <c r="E56" s="9"/>
    </row>
    <row r="57" spans="5:5" x14ac:dyDescent="0.3">
      <c r="E57" s="9"/>
    </row>
    <row r="58" spans="5:5" x14ac:dyDescent="0.3">
      <c r="E58" s="9"/>
    </row>
    <row r="59" spans="5:5" x14ac:dyDescent="0.3">
      <c r="E59" s="9"/>
    </row>
    <row r="60" spans="5:5" x14ac:dyDescent="0.3">
      <c r="E60" s="9"/>
    </row>
    <row r="61" spans="5:5" x14ac:dyDescent="0.3">
      <c r="E61" s="9"/>
    </row>
    <row r="62" spans="5:5" x14ac:dyDescent="0.3">
      <c r="E62" s="9"/>
    </row>
    <row r="63" spans="5:5" x14ac:dyDescent="0.3">
      <c r="E63" s="9"/>
    </row>
    <row r="64" spans="5:5" x14ac:dyDescent="0.3">
      <c r="E64" s="9"/>
    </row>
    <row r="65" spans="5:5" x14ac:dyDescent="0.3">
      <c r="E65" s="9"/>
    </row>
    <row r="66" spans="5:5" x14ac:dyDescent="0.3">
      <c r="E66" s="9"/>
    </row>
    <row r="67" spans="5:5" x14ac:dyDescent="0.3">
      <c r="E67" s="9"/>
    </row>
    <row r="68" spans="5:5" x14ac:dyDescent="0.3">
      <c r="E68" s="9"/>
    </row>
    <row r="69" spans="5:5" x14ac:dyDescent="0.3">
      <c r="E69" s="9"/>
    </row>
    <row r="70" spans="5:5" x14ac:dyDescent="0.3">
      <c r="E70" s="9"/>
    </row>
    <row r="71" spans="5:5" x14ac:dyDescent="0.3">
      <c r="E71" s="9"/>
    </row>
    <row r="72" spans="5:5" x14ac:dyDescent="0.3">
      <c r="E72" s="9"/>
    </row>
    <row r="73" spans="5:5" x14ac:dyDescent="0.3">
      <c r="E73" s="9"/>
    </row>
    <row r="74" spans="5:5" x14ac:dyDescent="0.3">
      <c r="E74" s="9"/>
    </row>
    <row r="75" spans="5:5" x14ac:dyDescent="0.3">
      <c r="E75" s="9"/>
    </row>
    <row r="76" spans="5:5" x14ac:dyDescent="0.3">
      <c r="E76" s="9"/>
    </row>
    <row r="77" spans="5:5" x14ac:dyDescent="0.3">
      <c r="E77" s="9"/>
    </row>
    <row r="78" spans="5:5" x14ac:dyDescent="0.3">
      <c r="E78" s="9"/>
    </row>
    <row r="79" spans="5:5" x14ac:dyDescent="0.3">
      <c r="E79" s="9"/>
    </row>
    <row r="80" spans="5:5" x14ac:dyDescent="0.3">
      <c r="E80" s="9"/>
    </row>
    <row r="81" spans="5:5" x14ac:dyDescent="0.3">
      <c r="E81" s="9"/>
    </row>
    <row r="82" spans="5:5" x14ac:dyDescent="0.3">
      <c r="E82" s="9"/>
    </row>
    <row r="83" spans="5:5" x14ac:dyDescent="0.3">
      <c r="E83" s="9"/>
    </row>
    <row r="84" spans="5:5" x14ac:dyDescent="0.3">
      <c r="E84" s="9"/>
    </row>
    <row r="85" spans="5:5" x14ac:dyDescent="0.3">
      <c r="E85" s="9"/>
    </row>
    <row r="86" spans="5:5" x14ac:dyDescent="0.3">
      <c r="E86" s="9"/>
    </row>
    <row r="87" spans="5:5" x14ac:dyDescent="0.3">
      <c r="E87" s="9"/>
    </row>
    <row r="88" spans="5:5" x14ac:dyDescent="0.3">
      <c r="E88" s="9"/>
    </row>
    <row r="89" spans="5:5" x14ac:dyDescent="0.3">
      <c r="E89" s="9"/>
    </row>
    <row r="90" spans="5:5" x14ac:dyDescent="0.3">
      <c r="E90" s="9"/>
    </row>
    <row r="91" spans="5:5" x14ac:dyDescent="0.3">
      <c r="E91" s="9"/>
    </row>
    <row r="92" spans="5:5" x14ac:dyDescent="0.3">
      <c r="E92" s="9"/>
    </row>
    <row r="93" spans="5:5" x14ac:dyDescent="0.3">
      <c r="E93" s="9"/>
    </row>
    <row r="94" spans="5:5" x14ac:dyDescent="0.3">
      <c r="E94" s="9"/>
    </row>
    <row r="95" spans="5:5" x14ac:dyDescent="0.3">
      <c r="E95" s="9"/>
    </row>
    <row r="96" spans="5:5" x14ac:dyDescent="0.3">
      <c r="E96" s="9"/>
    </row>
    <row r="97" spans="5:5" x14ac:dyDescent="0.3">
      <c r="E97" s="9"/>
    </row>
    <row r="98" spans="5:5" x14ac:dyDescent="0.3">
      <c r="E98" s="9"/>
    </row>
    <row r="99" spans="5:5" x14ac:dyDescent="0.3">
      <c r="E99" s="9"/>
    </row>
    <row r="100" spans="5:5" x14ac:dyDescent="0.3">
      <c r="E100" s="9"/>
    </row>
    <row r="101" spans="5:5" x14ac:dyDescent="0.3">
      <c r="E101" s="9"/>
    </row>
    <row r="102" spans="5:5" x14ac:dyDescent="0.3">
      <c r="E102" s="9"/>
    </row>
    <row r="103" spans="5:5" x14ac:dyDescent="0.3">
      <c r="E103" s="9"/>
    </row>
    <row r="104" spans="5:5" x14ac:dyDescent="0.3">
      <c r="E104" s="9"/>
    </row>
    <row r="105" spans="5:5" x14ac:dyDescent="0.3">
      <c r="E105" s="9"/>
    </row>
    <row r="106" spans="5:5" x14ac:dyDescent="0.3">
      <c r="E106" s="9"/>
    </row>
    <row r="107" spans="5:5" x14ac:dyDescent="0.3">
      <c r="E107" s="9"/>
    </row>
    <row r="108" spans="5:5" x14ac:dyDescent="0.3">
      <c r="E108" s="9"/>
    </row>
    <row r="109" spans="5:5" x14ac:dyDescent="0.3">
      <c r="E109" s="9"/>
    </row>
    <row r="110" spans="5:5" x14ac:dyDescent="0.3">
      <c r="E110" s="9"/>
    </row>
    <row r="111" spans="5:5" x14ac:dyDescent="0.3">
      <c r="E111" s="9"/>
    </row>
    <row r="112" spans="5:5" x14ac:dyDescent="0.3">
      <c r="E112" s="9"/>
    </row>
    <row r="113" spans="5:5" x14ac:dyDescent="0.3">
      <c r="E113" s="9"/>
    </row>
    <row r="114" spans="5:5" x14ac:dyDescent="0.3">
      <c r="E114" s="9"/>
    </row>
    <row r="115" spans="5:5" x14ac:dyDescent="0.3">
      <c r="E115" s="9"/>
    </row>
    <row r="116" spans="5:5" x14ac:dyDescent="0.3">
      <c r="E116" s="9"/>
    </row>
    <row r="117" spans="5:5" x14ac:dyDescent="0.3">
      <c r="E117" s="9"/>
    </row>
    <row r="118" spans="5:5" x14ac:dyDescent="0.3">
      <c r="E118" s="9"/>
    </row>
    <row r="119" spans="5:5" x14ac:dyDescent="0.3">
      <c r="E119" s="9"/>
    </row>
    <row r="120" spans="5:5" x14ac:dyDescent="0.3">
      <c r="E120" s="9"/>
    </row>
    <row r="121" spans="5:5" x14ac:dyDescent="0.3">
      <c r="E121" s="9"/>
    </row>
    <row r="122" spans="5:5" x14ac:dyDescent="0.3">
      <c r="E122" s="9"/>
    </row>
    <row r="123" spans="5:5" x14ac:dyDescent="0.3">
      <c r="E123" s="9"/>
    </row>
    <row r="124" spans="5:5" x14ac:dyDescent="0.3">
      <c r="E124" s="9"/>
    </row>
    <row r="125" spans="5:5" x14ac:dyDescent="0.3">
      <c r="E125" s="9"/>
    </row>
    <row r="126" spans="5:5" x14ac:dyDescent="0.3">
      <c r="E126" s="9"/>
    </row>
    <row r="127" spans="5:5" x14ac:dyDescent="0.3">
      <c r="E127" s="9"/>
    </row>
    <row r="128" spans="5:5" x14ac:dyDescent="0.3">
      <c r="E128" s="9"/>
    </row>
    <row r="129" spans="5:5" x14ac:dyDescent="0.3">
      <c r="E129" s="9"/>
    </row>
    <row r="130" spans="5:5" x14ac:dyDescent="0.3">
      <c r="E130" s="9"/>
    </row>
    <row r="131" spans="5:5" x14ac:dyDescent="0.3">
      <c r="E131" s="9"/>
    </row>
    <row r="132" spans="5:5" x14ac:dyDescent="0.3">
      <c r="E132" s="9"/>
    </row>
    <row r="133" spans="5:5" x14ac:dyDescent="0.3">
      <c r="E133" s="9"/>
    </row>
    <row r="134" spans="5:5" x14ac:dyDescent="0.3">
      <c r="E134" s="9"/>
    </row>
    <row r="135" spans="5:5" x14ac:dyDescent="0.3">
      <c r="E135" s="9"/>
    </row>
    <row r="136" spans="5:5" x14ac:dyDescent="0.3">
      <c r="E136" s="9"/>
    </row>
    <row r="137" spans="5:5" x14ac:dyDescent="0.3">
      <c r="E137" s="9"/>
    </row>
    <row r="138" spans="5:5" x14ac:dyDescent="0.3">
      <c r="E138" s="9"/>
    </row>
    <row r="139" spans="5:5" x14ac:dyDescent="0.3">
      <c r="E139" s="9"/>
    </row>
    <row r="140" spans="5:5" x14ac:dyDescent="0.3">
      <c r="E140" s="9"/>
    </row>
    <row r="141" spans="5:5" x14ac:dyDescent="0.3">
      <c r="E141" s="9"/>
    </row>
    <row r="142" spans="5:5" x14ac:dyDescent="0.3">
      <c r="E142" s="9"/>
    </row>
    <row r="143" spans="5:5" x14ac:dyDescent="0.3">
      <c r="E143" s="9"/>
    </row>
    <row r="144" spans="5:5" x14ac:dyDescent="0.3">
      <c r="E144" s="9"/>
    </row>
    <row r="145" spans="5:5" x14ac:dyDescent="0.3">
      <c r="E145" s="9"/>
    </row>
    <row r="146" spans="5:5" x14ac:dyDescent="0.3">
      <c r="E146" s="9"/>
    </row>
    <row r="147" spans="5:5" x14ac:dyDescent="0.3">
      <c r="E147" s="9"/>
    </row>
    <row r="148" spans="5:5" x14ac:dyDescent="0.3">
      <c r="E148" s="9"/>
    </row>
    <row r="149" spans="5:5" x14ac:dyDescent="0.3">
      <c r="E149" s="9"/>
    </row>
    <row r="150" spans="5:5" x14ac:dyDescent="0.3">
      <c r="E150" s="9"/>
    </row>
    <row r="151" spans="5:5" x14ac:dyDescent="0.3">
      <c r="E151" s="9"/>
    </row>
    <row r="152" spans="5:5" x14ac:dyDescent="0.3">
      <c r="E152" s="9"/>
    </row>
    <row r="153" spans="5:5" x14ac:dyDescent="0.3">
      <c r="E153" s="9"/>
    </row>
    <row r="154" spans="5:5" x14ac:dyDescent="0.3">
      <c r="E154" s="9"/>
    </row>
    <row r="155" spans="5:5" x14ac:dyDescent="0.3">
      <c r="E155" s="9"/>
    </row>
    <row r="156" spans="5:5" x14ac:dyDescent="0.3">
      <c r="E156" s="9"/>
    </row>
    <row r="157" spans="5:5" x14ac:dyDescent="0.3">
      <c r="E157" s="9"/>
    </row>
    <row r="158" spans="5:5" x14ac:dyDescent="0.3">
      <c r="E158" s="9"/>
    </row>
    <row r="159" spans="5:5" x14ac:dyDescent="0.3">
      <c r="E159" s="9"/>
    </row>
    <row r="160" spans="5:5" x14ac:dyDescent="0.3">
      <c r="E160" s="9"/>
    </row>
    <row r="161" spans="5:5" x14ac:dyDescent="0.3">
      <c r="E161" s="9"/>
    </row>
    <row r="162" spans="5:5" x14ac:dyDescent="0.3">
      <c r="E162" s="9"/>
    </row>
  </sheetData>
  <mergeCells count="1">
    <mergeCell ref="H11:J1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1:H345"/>
  <sheetViews>
    <sheetView topLeftCell="A2" zoomScaleNormal="100" workbookViewId="0">
      <selection activeCell="G332" sqref="G332"/>
    </sheetView>
  </sheetViews>
  <sheetFormatPr defaultRowHeight="14.4" x14ac:dyDescent="0.3"/>
  <cols>
    <col min="1" max="1" width="18.5546875" style="45" customWidth="1"/>
    <col min="2" max="2" width="29" style="46" customWidth="1"/>
    <col min="3" max="3" width="8.6640625" style="46" customWidth="1"/>
    <col min="4" max="4" width="15.44140625" style="47" customWidth="1"/>
    <col min="5" max="5" width="13.44140625" style="47" customWidth="1"/>
    <col min="6" max="6" width="12.88671875" style="46" customWidth="1"/>
    <col min="7" max="7" width="23.33203125" style="47" customWidth="1"/>
    <col min="8" max="8" width="10" style="48" customWidth="1"/>
  </cols>
  <sheetData>
    <row r="1" spans="1:8" x14ac:dyDescent="0.3">
      <c r="A1" s="42" t="s">
        <v>0</v>
      </c>
      <c r="B1" s="43" t="s">
        <v>3</v>
      </c>
      <c r="C1" s="43" t="s">
        <v>11</v>
      </c>
      <c r="D1" s="43" t="s">
        <v>4</v>
      </c>
      <c r="E1" s="44" t="s">
        <v>13</v>
      </c>
      <c r="F1" s="43" t="s">
        <v>5</v>
      </c>
      <c r="G1" s="43" t="s">
        <v>8</v>
      </c>
      <c r="H1" s="43" t="s">
        <v>15</v>
      </c>
    </row>
    <row r="2" spans="1:8" x14ac:dyDescent="0.3">
      <c r="A2" s="45">
        <v>2021000061</v>
      </c>
      <c r="B2" s="46" t="s">
        <v>79</v>
      </c>
      <c r="C2" s="46">
        <v>1</v>
      </c>
      <c r="D2" s="47">
        <v>230</v>
      </c>
      <c r="E2" s="47">
        <v>230</v>
      </c>
      <c r="F2" s="44">
        <v>44410</v>
      </c>
      <c r="G2" s="47" t="s">
        <v>242</v>
      </c>
      <c r="H2" s="48">
        <v>1</v>
      </c>
    </row>
    <row r="3" spans="1:8" x14ac:dyDescent="0.3">
      <c r="A3" s="45">
        <v>2021000184</v>
      </c>
      <c r="B3" s="46" t="s">
        <v>200</v>
      </c>
      <c r="C3" s="46">
        <v>1</v>
      </c>
      <c r="D3" s="47">
        <v>150</v>
      </c>
      <c r="E3" s="47">
        <v>150</v>
      </c>
      <c r="F3" s="44">
        <v>44410</v>
      </c>
      <c r="G3" s="47" t="s">
        <v>242</v>
      </c>
      <c r="H3" s="48">
        <v>2</v>
      </c>
    </row>
    <row r="4" spans="1:8" x14ac:dyDescent="0.3">
      <c r="A4" s="45">
        <v>2021000054</v>
      </c>
      <c r="B4" s="46" t="s">
        <v>72</v>
      </c>
      <c r="C4" s="46">
        <v>1</v>
      </c>
      <c r="D4" s="47">
        <v>70</v>
      </c>
      <c r="E4" s="47">
        <v>70</v>
      </c>
      <c r="F4" s="44">
        <v>44410</v>
      </c>
      <c r="G4" s="47" t="s">
        <v>242</v>
      </c>
      <c r="H4" s="48">
        <v>3</v>
      </c>
    </row>
    <row r="5" spans="1:8" x14ac:dyDescent="0.3">
      <c r="A5" s="45">
        <v>2021000145</v>
      </c>
      <c r="B5" s="46" t="s">
        <v>329</v>
      </c>
      <c r="C5" s="46">
        <v>1</v>
      </c>
      <c r="D5" s="47">
        <v>60</v>
      </c>
      <c r="E5" s="47">
        <v>60</v>
      </c>
      <c r="F5" s="44">
        <v>44410</v>
      </c>
      <c r="G5" s="47" t="s">
        <v>242</v>
      </c>
      <c r="H5" s="48">
        <v>4</v>
      </c>
    </row>
    <row r="6" spans="1:8" x14ac:dyDescent="0.3">
      <c r="A6" s="45">
        <v>2021000157</v>
      </c>
      <c r="B6" s="46" t="s">
        <v>174</v>
      </c>
      <c r="C6" s="46">
        <v>1</v>
      </c>
      <c r="D6" s="47">
        <v>60</v>
      </c>
      <c r="E6" s="47">
        <v>60</v>
      </c>
      <c r="F6" s="44">
        <v>44410</v>
      </c>
      <c r="G6" s="47" t="s">
        <v>242</v>
      </c>
      <c r="H6" s="48">
        <v>5</v>
      </c>
    </row>
    <row r="7" spans="1:8" x14ac:dyDescent="0.3">
      <c r="A7" s="45">
        <v>2021000090</v>
      </c>
      <c r="B7" s="46" t="s">
        <v>108</v>
      </c>
      <c r="C7" s="46">
        <v>1</v>
      </c>
      <c r="D7" s="47">
        <v>50</v>
      </c>
      <c r="E7" s="47">
        <v>50</v>
      </c>
      <c r="F7" s="44">
        <v>44410</v>
      </c>
      <c r="G7" s="47" t="s">
        <v>242</v>
      </c>
      <c r="H7" s="48">
        <v>6</v>
      </c>
    </row>
    <row r="8" spans="1:8" x14ac:dyDescent="0.3">
      <c r="A8" s="45">
        <v>2021000080</v>
      </c>
      <c r="B8" s="46" t="s">
        <v>98</v>
      </c>
      <c r="C8" s="46">
        <v>1</v>
      </c>
      <c r="D8" s="47">
        <v>230</v>
      </c>
      <c r="E8" s="47">
        <v>230</v>
      </c>
      <c r="F8" s="44">
        <v>44410</v>
      </c>
      <c r="G8" s="47" t="s">
        <v>242</v>
      </c>
      <c r="H8" s="48">
        <v>7</v>
      </c>
    </row>
    <row r="9" spans="1:8" x14ac:dyDescent="0.3">
      <c r="A9" s="45">
        <v>2021000090</v>
      </c>
      <c r="B9" s="46" t="s">
        <v>108</v>
      </c>
      <c r="C9" s="46">
        <v>1</v>
      </c>
      <c r="D9" s="47">
        <v>50</v>
      </c>
      <c r="E9" s="47">
        <v>50</v>
      </c>
      <c r="F9" s="44">
        <v>44410</v>
      </c>
      <c r="G9" s="47" t="s">
        <v>246</v>
      </c>
      <c r="H9" s="48">
        <v>8</v>
      </c>
    </row>
    <row r="10" spans="1:8" x14ac:dyDescent="0.3">
      <c r="A10" s="45">
        <v>2021000157</v>
      </c>
      <c r="B10" s="46" t="s">
        <v>174</v>
      </c>
      <c r="C10" s="46">
        <v>1</v>
      </c>
      <c r="D10" s="47">
        <v>60</v>
      </c>
      <c r="E10" s="47">
        <v>60</v>
      </c>
      <c r="F10" s="44">
        <v>44410</v>
      </c>
      <c r="G10" s="47" t="s">
        <v>246</v>
      </c>
      <c r="H10" s="48">
        <v>9</v>
      </c>
    </row>
    <row r="11" spans="1:8" x14ac:dyDescent="0.3">
      <c r="A11" s="45">
        <v>2021000158</v>
      </c>
      <c r="B11" s="46" t="s">
        <v>175</v>
      </c>
      <c r="C11" s="46">
        <v>1</v>
      </c>
      <c r="D11" s="47">
        <v>40</v>
      </c>
      <c r="E11" s="47">
        <v>40</v>
      </c>
      <c r="F11" s="44">
        <v>44410</v>
      </c>
      <c r="G11" s="47" t="s">
        <v>246</v>
      </c>
      <c r="H11" s="48">
        <v>10</v>
      </c>
    </row>
    <row r="12" spans="1:8" x14ac:dyDescent="0.3">
      <c r="A12" s="45">
        <v>2021000304</v>
      </c>
      <c r="B12" s="46" t="s">
        <v>362</v>
      </c>
      <c r="C12" s="46">
        <v>1</v>
      </c>
      <c r="D12" s="47">
        <v>270</v>
      </c>
      <c r="E12" s="47">
        <v>270</v>
      </c>
      <c r="F12" s="44">
        <v>44410</v>
      </c>
      <c r="G12" s="47" t="s">
        <v>246</v>
      </c>
      <c r="H12" s="48">
        <v>11</v>
      </c>
    </row>
    <row r="13" spans="1:8" x14ac:dyDescent="0.3">
      <c r="A13" s="45">
        <v>2021000130</v>
      </c>
      <c r="B13" s="46" t="s">
        <v>148</v>
      </c>
      <c r="C13" s="46">
        <v>1</v>
      </c>
      <c r="D13" s="47">
        <v>74.08</v>
      </c>
      <c r="E13" s="47">
        <v>74.08</v>
      </c>
      <c r="F13" s="44">
        <v>44410</v>
      </c>
      <c r="G13" s="47" t="s">
        <v>243</v>
      </c>
      <c r="H13" s="48">
        <v>12</v>
      </c>
    </row>
    <row r="14" spans="1:8" x14ac:dyDescent="0.3">
      <c r="A14" s="45">
        <v>2021000094</v>
      </c>
      <c r="B14" s="46" t="s">
        <v>112</v>
      </c>
      <c r="C14" s="46">
        <v>1</v>
      </c>
      <c r="D14" s="47">
        <v>61.5</v>
      </c>
      <c r="E14" s="47">
        <v>61.5</v>
      </c>
      <c r="F14" s="44">
        <v>44410</v>
      </c>
      <c r="G14" s="47" t="s">
        <v>361</v>
      </c>
      <c r="H14" s="48">
        <v>13</v>
      </c>
    </row>
    <row r="15" spans="1:8" x14ac:dyDescent="0.3">
      <c r="A15" s="45">
        <v>2021000076</v>
      </c>
      <c r="B15" s="46" t="s">
        <v>301</v>
      </c>
      <c r="C15" s="46">
        <v>1</v>
      </c>
      <c r="D15" s="47">
        <v>186.05</v>
      </c>
      <c r="E15" s="47">
        <v>186.05</v>
      </c>
      <c r="F15" s="44">
        <v>44410</v>
      </c>
      <c r="G15" s="47" t="s">
        <v>243</v>
      </c>
      <c r="H15" s="48">
        <v>14</v>
      </c>
    </row>
    <row r="16" spans="1:8" x14ac:dyDescent="0.3">
      <c r="A16" s="45">
        <v>2021000275</v>
      </c>
      <c r="B16" s="46" t="s">
        <v>325</v>
      </c>
      <c r="C16" s="46">
        <v>1</v>
      </c>
      <c r="D16" s="47">
        <v>14.72</v>
      </c>
      <c r="E16" s="47">
        <v>14.72</v>
      </c>
      <c r="F16" s="44">
        <v>44411</v>
      </c>
      <c r="G16" s="47" t="s">
        <v>243</v>
      </c>
      <c r="H16" s="48">
        <v>15</v>
      </c>
    </row>
    <row r="17" spans="1:8" x14ac:dyDescent="0.3">
      <c r="A17" s="45">
        <v>2021000276</v>
      </c>
      <c r="B17" s="46" t="s">
        <v>326</v>
      </c>
      <c r="C17" s="46">
        <v>1</v>
      </c>
      <c r="D17" s="47">
        <v>14.72</v>
      </c>
      <c r="E17" s="47">
        <v>14.72</v>
      </c>
      <c r="F17" s="44">
        <v>44411</v>
      </c>
      <c r="G17" s="47" t="s">
        <v>243</v>
      </c>
      <c r="H17" s="48">
        <v>16</v>
      </c>
    </row>
    <row r="18" spans="1:8" x14ac:dyDescent="0.3">
      <c r="A18" s="45">
        <v>2021000219</v>
      </c>
      <c r="B18" s="46" t="s">
        <v>234</v>
      </c>
      <c r="C18" s="46">
        <v>1</v>
      </c>
      <c r="D18" s="47">
        <v>14.72</v>
      </c>
      <c r="E18" s="47">
        <v>14.72</v>
      </c>
      <c r="F18" s="44">
        <v>44411</v>
      </c>
      <c r="G18" s="47" t="s">
        <v>243</v>
      </c>
      <c r="H18" s="48">
        <v>17</v>
      </c>
    </row>
    <row r="19" spans="1:8" x14ac:dyDescent="0.3">
      <c r="A19" s="45">
        <v>2021000220</v>
      </c>
      <c r="B19" s="46" t="s">
        <v>235</v>
      </c>
      <c r="C19" s="46">
        <v>1</v>
      </c>
      <c r="D19" s="47">
        <v>14.72</v>
      </c>
      <c r="E19" s="47">
        <v>14.72</v>
      </c>
      <c r="F19" s="44">
        <v>44411</v>
      </c>
      <c r="G19" s="47" t="s">
        <v>243</v>
      </c>
      <c r="H19" s="48">
        <v>18</v>
      </c>
    </row>
    <row r="20" spans="1:8" x14ac:dyDescent="0.3">
      <c r="A20" s="45">
        <v>2021000138</v>
      </c>
      <c r="B20" s="46" t="s">
        <v>156</v>
      </c>
      <c r="C20" s="46">
        <v>1</v>
      </c>
      <c r="D20" s="47">
        <v>47.86</v>
      </c>
      <c r="E20" s="47">
        <v>47.86</v>
      </c>
      <c r="F20" s="44">
        <v>44411</v>
      </c>
      <c r="G20" s="47" t="s">
        <v>245</v>
      </c>
      <c r="H20" s="48">
        <v>19</v>
      </c>
    </row>
    <row r="21" spans="1:8" x14ac:dyDescent="0.3">
      <c r="A21" s="45">
        <v>2021000269</v>
      </c>
      <c r="B21" s="46" t="s">
        <v>318</v>
      </c>
      <c r="C21" s="46">
        <v>1</v>
      </c>
      <c r="D21" s="47">
        <v>120</v>
      </c>
      <c r="E21" s="47">
        <v>120</v>
      </c>
      <c r="F21" s="44">
        <v>44411</v>
      </c>
      <c r="G21" s="47" t="s">
        <v>246</v>
      </c>
      <c r="H21" s="48">
        <v>20</v>
      </c>
    </row>
    <row r="22" spans="1:8" x14ac:dyDescent="0.3">
      <c r="A22" s="45">
        <v>2021000303</v>
      </c>
      <c r="B22" s="46" t="s">
        <v>363</v>
      </c>
      <c r="C22" s="46">
        <v>1</v>
      </c>
      <c r="D22" s="47">
        <v>150</v>
      </c>
      <c r="E22" s="47">
        <v>150</v>
      </c>
      <c r="F22" s="44">
        <v>44411</v>
      </c>
      <c r="G22" s="47" t="s">
        <v>246</v>
      </c>
      <c r="H22" s="48">
        <v>21</v>
      </c>
    </row>
    <row r="23" spans="1:8" x14ac:dyDescent="0.3">
      <c r="A23" s="45">
        <v>2021000090</v>
      </c>
      <c r="B23" s="46" t="s">
        <v>108</v>
      </c>
      <c r="C23" s="46">
        <v>1</v>
      </c>
      <c r="D23" s="47">
        <v>50</v>
      </c>
      <c r="E23" s="47">
        <v>50</v>
      </c>
      <c r="F23" s="44">
        <v>44411</v>
      </c>
      <c r="G23" s="47" t="s">
        <v>246</v>
      </c>
      <c r="H23" s="48">
        <v>22</v>
      </c>
    </row>
    <row r="24" spans="1:8" x14ac:dyDescent="0.3">
      <c r="A24" s="45">
        <v>2021000157</v>
      </c>
      <c r="B24" s="46" t="s">
        <v>174</v>
      </c>
      <c r="C24" s="46">
        <v>1</v>
      </c>
      <c r="D24" s="47">
        <v>60</v>
      </c>
      <c r="E24" s="47">
        <v>60</v>
      </c>
      <c r="F24" s="44">
        <v>44411</v>
      </c>
      <c r="G24" s="47" t="s">
        <v>246</v>
      </c>
      <c r="H24" s="48">
        <v>23</v>
      </c>
    </row>
    <row r="25" spans="1:8" x14ac:dyDescent="0.3">
      <c r="A25" s="45">
        <v>2021000158</v>
      </c>
      <c r="B25" s="46" t="s">
        <v>175</v>
      </c>
      <c r="C25" s="46">
        <v>1</v>
      </c>
      <c r="D25" s="47">
        <v>40</v>
      </c>
      <c r="E25" s="47">
        <v>40</v>
      </c>
      <c r="F25" s="44">
        <v>44411</v>
      </c>
      <c r="G25" s="47" t="s">
        <v>246</v>
      </c>
      <c r="H25" s="48">
        <v>24</v>
      </c>
    </row>
    <row r="26" spans="1:8" x14ac:dyDescent="0.3">
      <c r="A26" s="45">
        <v>2021000258</v>
      </c>
      <c r="B26" s="46" t="s">
        <v>304</v>
      </c>
      <c r="C26" s="46">
        <v>1</v>
      </c>
      <c r="D26" s="47">
        <v>40</v>
      </c>
      <c r="E26" s="47">
        <v>40</v>
      </c>
      <c r="F26" s="44">
        <v>44411</v>
      </c>
      <c r="G26" s="47" t="s">
        <v>246</v>
      </c>
      <c r="H26" s="48">
        <v>25</v>
      </c>
    </row>
    <row r="27" spans="1:8" x14ac:dyDescent="0.3">
      <c r="A27" s="45">
        <v>2021000169</v>
      </c>
      <c r="B27" s="46" t="s">
        <v>185</v>
      </c>
      <c r="C27" s="46">
        <v>7</v>
      </c>
      <c r="D27" s="47">
        <v>55</v>
      </c>
      <c r="E27" s="47">
        <v>385</v>
      </c>
      <c r="F27" s="44">
        <v>44411</v>
      </c>
      <c r="G27" s="47" t="s">
        <v>242</v>
      </c>
      <c r="H27" s="48">
        <v>26</v>
      </c>
    </row>
    <row r="28" spans="1:8" x14ac:dyDescent="0.3">
      <c r="A28" s="45">
        <v>2021000249</v>
      </c>
      <c r="B28" s="46" t="s">
        <v>285</v>
      </c>
      <c r="C28" s="46">
        <v>1</v>
      </c>
      <c r="D28" s="47">
        <v>150</v>
      </c>
      <c r="E28" s="47">
        <v>150</v>
      </c>
      <c r="F28" s="44">
        <v>44412</v>
      </c>
      <c r="G28" s="47" t="s">
        <v>246</v>
      </c>
      <c r="H28" s="48">
        <v>27</v>
      </c>
    </row>
    <row r="29" spans="1:8" x14ac:dyDescent="0.3">
      <c r="A29" s="45">
        <v>2021000273</v>
      </c>
      <c r="B29" s="46" t="s">
        <v>323</v>
      </c>
      <c r="C29" s="46">
        <v>1</v>
      </c>
      <c r="D29" s="47">
        <v>40</v>
      </c>
      <c r="E29" s="47">
        <v>40</v>
      </c>
      <c r="F29" s="44">
        <v>44412</v>
      </c>
      <c r="G29" s="47" t="s">
        <v>246</v>
      </c>
      <c r="H29" s="48">
        <v>28</v>
      </c>
    </row>
    <row r="30" spans="1:8" x14ac:dyDescent="0.3">
      <c r="A30" s="45">
        <v>2021000080</v>
      </c>
      <c r="B30" s="46" t="s">
        <v>98</v>
      </c>
      <c r="C30" s="46">
        <v>1</v>
      </c>
      <c r="D30" s="47">
        <v>203</v>
      </c>
      <c r="E30" s="47">
        <v>203</v>
      </c>
      <c r="F30" s="44">
        <v>44412</v>
      </c>
      <c r="G30" s="47" t="s">
        <v>245</v>
      </c>
      <c r="H30" s="48">
        <v>29</v>
      </c>
    </row>
    <row r="31" spans="1:8" x14ac:dyDescent="0.3">
      <c r="A31" s="45">
        <v>2021000080</v>
      </c>
      <c r="B31" s="46" t="s">
        <v>98</v>
      </c>
      <c r="C31" s="46">
        <v>1</v>
      </c>
      <c r="D31" s="47">
        <v>181.09</v>
      </c>
      <c r="E31" s="47">
        <v>181.09</v>
      </c>
      <c r="F31" s="44">
        <v>44412</v>
      </c>
      <c r="G31" s="47" t="s">
        <v>243</v>
      </c>
      <c r="H31" s="48">
        <v>30</v>
      </c>
    </row>
    <row r="32" spans="1:8" x14ac:dyDescent="0.3">
      <c r="A32" s="45">
        <v>2021000145</v>
      </c>
      <c r="B32" s="46" t="s">
        <v>329</v>
      </c>
      <c r="C32" s="46">
        <v>1</v>
      </c>
      <c r="D32" s="47">
        <v>54.5</v>
      </c>
      <c r="E32" s="47">
        <v>54.5</v>
      </c>
      <c r="F32" s="44">
        <v>44412</v>
      </c>
      <c r="G32" s="47" t="s">
        <v>243</v>
      </c>
      <c r="H32" s="48">
        <v>31</v>
      </c>
    </row>
    <row r="33" spans="1:8" x14ac:dyDescent="0.3">
      <c r="A33" s="45">
        <v>2021000103</v>
      </c>
      <c r="B33" s="46" t="s">
        <v>121</v>
      </c>
      <c r="C33" s="46">
        <v>1</v>
      </c>
      <c r="D33" s="47">
        <v>48.29</v>
      </c>
      <c r="E33" s="47">
        <v>48.29</v>
      </c>
      <c r="F33" s="44">
        <v>44412</v>
      </c>
      <c r="G33" s="47" t="s">
        <v>243</v>
      </c>
      <c r="H33" s="48">
        <v>32</v>
      </c>
    </row>
    <row r="34" spans="1:8" x14ac:dyDescent="0.3">
      <c r="A34" s="45">
        <v>2021000204</v>
      </c>
      <c r="B34" s="46" t="s">
        <v>220</v>
      </c>
      <c r="C34" s="46">
        <v>1</v>
      </c>
      <c r="D34" s="47">
        <v>160</v>
      </c>
      <c r="E34" s="47">
        <v>160</v>
      </c>
      <c r="F34" s="44">
        <v>44412</v>
      </c>
      <c r="G34" s="47" t="s">
        <v>246</v>
      </c>
      <c r="H34" s="48">
        <v>33</v>
      </c>
    </row>
    <row r="35" spans="1:8" x14ac:dyDescent="0.3">
      <c r="A35" s="45">
        <v>2021000289</v>
      </c>
      <c r="B35" s="46" t="s">
        <v>345</v>
      </c>
      <c r="C35" s="46">
        <v>1</v>
      </c>
      <c r="D35" s="47">
        <v>40</v>
      </c>
      <c r="E35" s="47">
        <v>40</v>
      </c>
      <c r="F35" s="44">
        <v>44412</v>
      </c>
      <c r="G35" s="47" t="s">
        <v>246</v>
      </c>
      <c r="H35" s="48">
        <v>34</v>
      </c>
    </row>
    <row r="36" spans="1:8" x14ac:dyDescent="0.3">
      <c r="A36" s="45">
        <v>2021000201</v>
      </c>
      <c r="B36" s="46" t="s">
        <v>217</v>
      </c>
      <c r="C36" s="46">
        <v>1</v>
      </c>
      <c r="D36" s="47">
        <v>30</v>
      </c>
      <c r="E36" s="47">
        <v>30</v>
      </c>
      <c r="F36" s="44">
        <v>44412</v>
      </c>
      <c r="G36" s="47" t="s">
        <v>246</v>
      </c>
      <c r="H36" s="48">
        <v>35</v>
      </c>
    </row>
    <row r="37" spans="1:8" x14ac:dyDescent="0.3">
      <c r="A37" s="45">
        <v>2021000200</v>
      </c>
      <c r="B37" s="46" t="s">
        <v>216</v>
      </c>
      <c r="C37" s="46">
        <v>1</v>
      </c>
      <c r="D37" s="47">
        <v>30</v>
      </c>
      <c r="E37" s="47">
        <v>30</v>
      </c>
      <c r="F37" s="44">
        <v>44412</v>
      </c>
      <c r="G37" s="47" t="s">
        <v>246</v>
      </c>
      <c r="H37" s="48">
        <v>36</v>
      </c>
    </row>
    <row r="38" spans="1:8" x14ac:dyDescent="0.3">
      <c r="A38" s="45">
        <v>2021000051</v>
      </c>
      <c r="B38" s="46" t="s">
        <v>69</v>
      </c>
      <c r="C38" s="46">
        <v>1</v>
      </c>
      <c r="D38" s="47">
        <v>70</v>
      </c>
      <c r="E38" s="47">
        <v>70</v>
      </c>
      <c r="F38" s="44">
        <v>44412</v>
      </c>
      <c r="G38" s="47" t="s">
        <v>246</v>
      </c>
      <c r="H38" s="48">
        <v>37</v>
      </c>
    </row>
    <row r="39" spans="1:8" x14ac:dyDescent="0.3">
      <c r="A39" s="45">
        <v>2021000097</v>
      </c>
      <c r="B39" s="46" t="s">
        <v>115</v>
      </c>
      <c r="C39" s="46">
        <v>1</v>
      </c>
      <c r="D39" s="47">
        <v>45</v>
      </c>
      <c r="E39" s="47">
        <v>45</v>
      </c>
      <c r="F39" s="44">
        <v>44412</v>
      </c>
      <c r="G39" s="47" t="s">
        <v>246</v>
      </c>
      <c r="H39" s="48">
        <v>38</v>
      </c>
    </row>
    <row r="40" spans="1:8" x14ac:dyDescent="0.3">
      <c r="A40" s="45">
        <v>2021000101</v>
      </c>
      <c r="B40" s="46" t="s">
        <v>119</v>
      </c>
      <c r="C40" s="46">
        <v>1</v>
      </c>
      <c r="D40" s="47">
        <v>30</v>
      </c>
      <c r="E40" s="47">
        <v>30</v>
      </c>
      <c r="F40" s="44">
        <v>44412</v>
      </c>
      <c r="G40" s="47" t="s">
        <v>246</v>
      </c>
      <c r="H40" s="48">
        <v>39</v>
      </c>
    </row>
    <row r="41" spans="1:8" x14ac:dyDescent="0.3">
      <c r="A41" s="45">
        <v>2021000147</v>
      </c>
      <c r="B41" s="46" t="s">
        <v>164</v>
      </c>
      <c r="C41" s="46">
        <v>1</v>
      </c>
      <c r="D41" s="47">
        <v>500</v>
      </c>
      <c r="E41" s="47">
        <v>500</v>
      </c>
      <c r="F41" s="44">
        <v>44413</v>
      </c>
      <c r="G41" s="47" t="s">
        <v>246</v>
      </c>
      <c r="H41" s="48">
        <v>40</v>
      </c>
    </row>
    <row r="42" spans="1:8" x14ac:dyDescent="0.3">
      <c r="A42" s="45">
        <v>2021000169</v>
      </c>
      <c r="B42" s="46" t="s">
        <v>185</v>
      </c>
      <c r="C42" s="46">
        <v>1</v>
      </c>
      <c r="D42" s="47">
        <v>220</v>
      </c>
      <c r="E42" s="47">
        <v>220</v>
      </c>
      <c r="F42" s="44">
        <v>44413</v>
      </c>
      <c r="G42" s="47" t="s">
        <v>246</v>
      </c>
      <c r="H42" s="48">
        <v>41</v>
      </c>
    </row>
    <row r="43" spans="1:8" x14ac:dyDescent="0.3">
      <c r="A43" s="45">
        <v>2021000041</v>
      </c>
      <c r="B43" s="46" t="s">
        <v>59</v>
      </c>
      <c r="C43" s="46">
        <v>1</v>
      </c>
      <c r="D43" s="47">
        <v>280</v>
      </c>
      <c r="E43" s="47">
        <v>280</v>
      </c>
      <c r="F43" s="44">
        <v>44413</v>
      </c>
      <c r="G43" s="47" t="s">
        <v>246</v>
      </c>
      <c r="H43" s="48">
        <v>42</v>
      </c>
    </row>
    <row r="44" spans="1:8" x14ac:dyDescent="0.3">
      <c r="A44" s="45">
        <v>2021000176</v>
      </c>
      <c r="B44" s="46" t="s">
        <v>191</v>
      </c>
      <c r="C44" s="46">
        <v>2</v>
      </c>
      <c r="D44" s="47">
        <v>20</v>
      </c>
      <c r="E44" s="47">
        <v>40</v>
      </c>
      <c r="F44" s="44">
        <v>44413</v>
      </c>
      <c r="G44" s="47" t="s">
        <v>246</v>
      </c>
      <c r="H44" s="48">
        <v>43</v>
      </c>
    </row>
    <row r="45" spans="1:8" x14ac:dyDescent="0.3">
      <c r="A45" s="45">
        <v>2021000170</v>
      </c>
      <c r="B45" s="46" t="s">
        <v>186</v>
      </c>
      <c r="C45" s="46">
        <v>1</v>
      </c>
      <c r="D45" s="47">
        <v>260</v>
      </c>
      <c r="E45" s="47">
        <v>260</v>
      </c>
      <c r="F45" s="44">
        <v>44414</v>
      </c>
      <c r="G45" s="47" t="s">
        <v>246</v>
      </c>
      <c r="H45" s="48">
        <v>44</v>
      </c>
    </row>
    <row r="46" spans="1:8" x14ac:dyDescent="0.3">
      <c r="A46" s="45">
        <v>2021000063</v>
      </c>
      <c r="B46" s="46" t="s">
        <v>81</v>
      </c>
      <c r="C46" s="46">
        <v>1</v>
      </c>
      <c r="D46" s="47">
        <v>60</v>
      </c>
      <c r="E46" s="47">
        <v>60</v>
      </c>
      <c r="F46" s="44">
        <v>44413</v>
      </c>
      <c r="G46" s="47" t="s">
        <v>246</v>
      </c>
      <c r="H46" s="48">
        <v>45</v>
      </c>
    </row>
    <row r="47" spans="1:8" x14ac:dyDescent="0.3">
      <c r="A47" s="45">
        <v>2021000094</v>
      </c>
      <c r="B47" s="46" t="s">
        <v>112</v>
      </c>
      <c r="C47" s="46">
        <v>1</v>
      </c>
      <c r="D47" s="47">
        <v>70</v>
      </c>
      <c r="E47" s="47">
        <v>70</v>
      </c>
      <c r="F47" s="44">
        <v>44413</v>
      </c>
      <c r="G47" s="47" t="s">
        <v>246</v>
      </c>
      <c r="H47" s="48">
        <v>46</v>
      </c>
    </row>
    <row r="48" spans="1:8" x14ac:dyDescent="0.3">
      <c r="A48" s="45">
        <v>2021000055</v>
      </c>
      <c r="B48" s="46" t="s">
        <v>73</v>
      </c>
      <c r="C48" s="46">
        <v>1</v>
      </c>
      <c r="D48" s="47">
        <v>70</v>
      </c>
      <c r="E48" s="47">
        <v>70</v>
      </c>
      <c r="F48" s="44">
        <v>44413</v>
      </c>
      <c r="G48" s="47" t="s">
        <v>246</v>
      </c>
      <c r="H48" s="48">
        <v>47</v>
      </c>
    </row>
    <row r="49" spans="1:8" x14ac:dyDescent="0.3">
      <c r="A49" s="45">
        <v>2021000051</v>
      </c>
      <c r="B49" s="46" t="s">
        <v>69</v>
      </c>
      <c r="C49" s="46">
        <v>1</v>
      </c>
      <c r="D49" s="47">
        <v>65</v>
      </c>
      <c r="E49" s="47">
        <v>65</v>
      </c>
      <c r="F49" s="44">
        <v>44413</v>
      </c>
      <c r="G49" s="47" t="s">
        <v>246</v>
      </c>
      <c r="H49" s="48">
        <v>48</v>
      </c>
    </row>
    <row r="50" spans="1:8" x14ac:dyDescent="0.3">
      <c r="A50" s="45">
        <v>2021000159</v>
      </c>
      <c r="B50" s="46" t="s">
        <v>302</v>
      </c>
      <c r="C50" s="46">
        <v>1</v>
      </c>
      <c r="D50" s="47">
        <v>90</v>
      </c>
      <c r="E50" s="47">
        <v>90</v>
      </c>
      <c r="F50" s="44">
        <v>44413</v>
      </c>
      <c r="G50" s="47" t="s">
        <v>246</v>
      </c>
      <c r="H50" s="48">
        <v>49</v>
      </c>
    </row>
    <row r="51" spans="1:8" x14ac:dyDescent="0.3">
      <c r="A51" s="45">
        <v>2021000251</v>
      </c>
      <c r="B51" s="46" t="s">
        <v>287</v>
      </c>
      <c r="C51" s="46">
        <v>1</v>
      </c>
      <c r="D51" s="47">
        <v>120</v>
      </c>
      <c r="E51" s="47">
        <v>120</v>
      </c>
      <c r="F51" s="44">
        <v>44414</v>
      </c>
      <c r="G51" s="47" t="s">
        <v>246</v>
      </c>
      <c r="H51" s="48">
        <v>50</v>
      </c>
    </row>
    <row r="52" spans="1:8" x14ac:dyDescent="0.3">
      <c r="A52" s="45">
        <v>2021000076</v>
      </c>
      <c r="B52" s="46" t="s">
        <v>301</v>
      </c>
      <c r="C52" s="46">
        <v>1</v>
      </c>
      <c r="D52" s="47">
        <v>160</v>
      </c>
      <c r="E52" s="47">
        <v>160</v>
      </c>
      <c r="F52" s="44">
        <v>44414</v>
      </c>
      <c r="G52" s="47" t="s">
        <v>246</v>
      </c>
      <c r="H52" s="48">
        <v>51</v>
      </c>
    </row>
    <row r="53" spans="1:8" x14ac:dyDescent="0.3">
      <c r="A53" s="45">
        <v>2021000206</v>
      </c>
      <c r="B53" s="46" t="s">
        <v>222</v>
      </c>
      <c r="C53" s="46">
        <v>1</v>
      </c>
      <c r="D53" s="47">
        <v>70</v>
      </c>
      <c r="E53" s="47">
        <v>70</v>
      </c>
      <c r="F53" s="44">
        <v>44415</v>
      </c>
      <c r="G53" s="47" t="s">
        <v>242</v>
      </c>
      <c r="H53" s="48">
        <v>52</v>
      </c>
    </row>
    <row r="54" spans="1:8" x14ac:dyDescent="0.3">
      <c r="A54" s="45">
        <v>2021000087</v>
      </c>
      <c r="B54" s="46" t="s">
        <v>105</v>
      </c>
      <c r="C54" s="46">
        <v>1</v>
      </c>
      <c r="D54" s="47">
        <v>70</v>
      </c>
      <c r="E54" s="47">
        <v>70</v>
      </c>
      <c r="F54" s="44">
        <v>44415</v>
      </c>
      <c r="G54" s="47" t="s">
        <v>242</v>
      </c>
      <c r="H54" s="48">
        <v>53</v>
      </c>
    </row>
    <row r="55" spans="1:8" x14ac:dyDescent="0.3">
      <c r="A55" s="45">
        <v>2021000094</v>
      </c>
      <c r="B55" s="46" t="s">
        <v>112</v>
      </c>
      <c r="C55" s="46">
        <v>1</v>
      </c>
      <c r="D55" s="47">
        <v>70</v>
      </c>
      <c r="E55" s="47">
        <v>70</v>
      </c>
      <c r="F55" s="44">
        <v>44415</v>
      </c>
      <c r="G55" s="47" t="s">
        <v>242</v>
      </c>
      <c r="H55" s="48">
        <v>54</v>
      </c>
    </row>
    <row r="56" spans="1:8" x14ac:dyDescent="0.3">
      <c r="A56" s="45">
        <v>2021000306</v>
      </c>
      <c r="B56" s="46" t="s">
        <v>365</v>
      </c>
      <c r="C56" s="46">
        <v>1</v>
      </c>
      <c r="D56" s="47">
        <v>200</v>
      </c>
      <c r="E56" s="47">
        <v>200</v>
      </c>
      <c r="F56" s="44">
        <v>44415</v>
      </c>
      <c r="G56" s="47" t="s">
        <v>242</v>
      </c>
      <c r="H56" s="48">
        <v>55</v>
      </c>
    </row>
    <row r="57" spans="1:8" x14ac:dyDescent="0.3">
      <c r="A57" s="45">
        <v>2021000088</v>
      </c>
      <c r="B57" s="46" t="s">
        <v>106</v>
      </c>
      <c r="C57" s="46">
        <v>1</v>
      </c>
      <c r="D57" s="47">
        <v>100</v>
      </c>
      <c r="E57" s="47">
        <v>100</v>
      </c>
      <c r="F57" s="44">
        <v>44415</v>
      </c>
      <c r="G57" s="47" t="s">
        <v>242</v>
      </c>
      <c r="H57" s="48">
        <v>56</v>
      </c>
    </row>
    <row r="58" spans="1:8" x14ac:dyDescent="0.3">
      <c r="A58" s="45">
        <v>2021000176</v>
      </c>
      <c r="B58" s="46" t="s">
        <v>191</v>
      </c>
      <c r="C58" s="46">
        <v>2</v>
      </c>
      <c r="D58" s="47">
        <v>20</v>
      </c>
      <c r="E58" s="47">
        <v>40</v>
      </c>
      <c r="F58" s="44">
        <v>44415</v>
      </c>
      <c r="G58" s="47" t="s">
        <v>242</v>
      </c>
      <c r="H58" s="48">
        <v>57</v>
      </c>
    </row>
    <row r="59" spans="1:8" x14ac:dyDescent="0.3">
      <c r="A59" s="45">
        <v>2021000258</v>
      </c>
      <c r="B59" s="46" t="s">
        <v>304</v>
      </c>
      <c r="C59" s="46">
        <v>1</v>
      </c>
      <c r="D59" s="47">
        <v>40</v>
      </c>
      <c r="E59" s="47">
        <v>40</v>
      </c>
      <c r="F59" s="44">
        <v>44415</v>
      </c>
      <c r="G59" s="47" t="s">
        <v>242</v>
      </c>
      <c r="H59" s="48">
        <v>58</v>
      </c>
    </row>
    <row r="60" spans="1:8" x14ac:dyDescent="0.3">
      <c r="A60" s="45">
        <v>2021000076</v>
      </c>
      <c r="B60" s="46" t="s">
        <v>301</v>
      </c>
      <c r="C60" s="46">
        <v>1</v>
      </c>
      <c r="D60" s="47">
        <v>160</v>
      </c>
      <c r="E60" s="47">
        <v>160</v>
      </c>
      <c r="F60" s="44">
        <v>44417</v>
      </c>
      <c r="G60" s="47" t="s">
        <v>242</v>
      </c>
      <c r="H60" s="48">
        <v>59</v>
      </c>
    </row>
    <row r="61" spans="1:8" x14ac:dyDescent="0.3">
      <c r="F61" s="44"/>
    </row>
    <row r="62" spans="1:8" x14ac:dyDescent="0.3">
      <c r="F62" s="44"/>
    </row>
    <row r="63" spans="1:8" x14ac:dyDescent="0.3">
      <c r="F63" s="44"/>
    </row>
    <row r="64" spans="1:8" x14ac:dyDescent="0.3">
      <c r="F64" s="44"/>
    </row>
    <row r="65" spans="6:6" x14ac:dyDescent="0.3">
      <c r="F65" s="44"/>
    </row>
    <row r="66" spans="6:6" x14ac:dyDescent="0.3">
      <c r="F66" s="44"/>
    </row>
    <row r="67" spans="6:6" x14ac:dyDescent="0.3">
      <c r="F67" s="44"/>
    </row>
    <row r="68" spans="6:6" x14ac:dyDescent="0.3">
      <c r="F68" s="44"/>
    </row>
    <row r="69" spans="6:6" x14ac:dyDescent="0.3">
      <c r="F69" s="44"/>
    </row>
    <row r="70" spans="6:6" x14ac:dyDescent="0.3">
      <c r="F70" s="44"/>
    </row>
    <row r="71" spans="6:6" x14ac:dyDescent="0.3">
      <c r="F71" s="44"/>
    </row>
    <row r="72" spans="6:6" x14ac:dyDescent="0.3">
      <c r="F72" s="44"/>
    </row>
    <row r="73" spans="6:6" x14ac:dyDescent="0.3">
      <c r="F73" s="44"/>
    </row>
    <row r="74" spans="6:6" x14ac:dyDescent="0.3">
      <c r="F74" s="44"/>
    </row>
    <row r="75" spans="6:6" x14ac:dyDescent="0.3">
      <c r="F75" s="44"/>
    </row>
    <row r="76" spans="6:6" x14ac:dyDescent="0.3">
      <c r="F76" s="44"/>
    </row>
    <row r="77" spans="6:6" x14ac:dyDescent="0.3">
      <c r="F77" s="44"/>
    </row>
    <row r="78" spans="6:6" x14ac:dyDescent="0.3">
      <c r="F78" s="44"/>
    </row>
    <row r="79" spans="6:6" x14ac:dyDescent="0.3">
      <c r="F79" s="44"/>
    </row>
    <row r="80" spans="6:6" x14ac:dyDescent="0.3">
      <c r="F80" s="44"/>
    </row>
    <row r="81" spans="6:6" x14ac:dyDescent="0.3">
      <c r="F81" s="44"/>
    </row>
    <row r="82" spans="6:6" x14ac:dyDescent="0.3">
      <c r="F82" s="44"/>
    </row>
    <row r="83" spans="6:6" x14ac:dyDescent="0.3">
      <c r="F83" s="44"/>
    </row>
    <row r="84" spans="6:6" x14ac:dyDescent="0.3">
      <c r="F84" s="44"/>
    </row>
    <row r="85" spans="6:6" x14ac:dyDescent="0.3">
      <c r="F85" s="44"/>
    </row>
    <row r="86" spans="6:6" x14ac:dyDescent="0.3">
      <c r="F86" s="44"/>
    </row>
    <row r="87" spans="6:6" x14ac:dyDescent="0.3">
      <c r="F87" s="44"/>
    </row>
    <row r="88" spans="6:6" x14ac:dyDescent="0.3">
      <c r="F88" s="44"/>
    </row>
    <row r="89" spans="6:6" x14ac:dyDescent="0.3">
      <c r="F89" s="44"/>
    </row>
    <row r="90" spans="6:6" x14ac:dyDescent="0.3">
      <c r="F90" s="44"/>
    </row>
    <row r="91" spans="6:6" x14ac:dyDescent="0.3">
      <c r="F91" s="44"/>
    </row>
    <row r="92" spans="6:6" x14ac:dyDescent="0.3">
      <c r="F92" s="44"/>
    </row>
    <row r="93" spans="6:6" x14ac:dyDescent="0.3">
      <c r="F93" s="44"/>
    </row>
    <row r="94" spans="6:6" x14ac:dyDescent="0.3">
      <c r="F94" s="44"/>
    </row>
    <row r="95" spans="6:6" x14ac:dyDescent="0.3">
      <c r="F95" s="44"/>
    </row>
    <row r="96" spans="6:6" x14ac:dyDescent="0.3">
      <c r="F96" s="44"/>
    </row>
    <row r="97" spans="6:6" x14ac:dyDescent="0.3">
      <c r="F97" s="44"/>
    </row>
    <row r="98" spans="6:6" x14ac:dyDescent="0.3">
      <c r="F98" s="44"/>
    </row>
    <row r="99" spans="6:6" x14ac:dyDescent="0.3">
      <c r="F99" s="44"/>
    </row>
    <row r="100" spans="6:6" x14ac:dyDescent="0.3">
      <c r="F100" s="44"/>
    </row>
    <row r="101" spans="6:6" x14ac:dyDescent="0.3">
      <c r="F101" s="44"/>
    </row>
    <row r="102" spans="6:6" x14ac:dyDescent="0.3">
      <c r="F102" s="44"/>
    </row>
    <row r="103" spans="6:6" x14ac:dyDescent="0.3">
      <c r="F103" s="44"/>
    </row>
    <row r="104" spans="6:6" x14ac:dyDescent="0.3">
      <c r="F104" s="44"/>
    </row>
    <row r="105" spans="6:6" x14ac:dyDescent="0.3">
      <c r="F105" s="44"/>
    </row>
    <row r="106" spans="6:6" x14ac:dyDescent="0.3">
      <c r="F106" s="44"/>
    </row>
    <row r="107" spans="6:6" x14ac:dyDescent="0.3">
      <c r="F107" s="44"/>
    </row>
    <row r="108" spans="6:6" x14ac:dyDescent="0.3">
      <c r="F108" s="44"/>
    </row>
    <row r="109" spans="6:6" x14ac:dyDescent="0.3">
      <c r="F109" s="44"/>
    </row>
    <row r="110" spans="6:6" x14ac:dyDescent="0.3">
      <c r="F110" s="44"/>
    </row>
    <row r="111" spans="6:6" x14ac:dyDescent="0.3">
      <c r="F111" s="44"/>
    </row>
    <row r="112" spans="6:6" x14ac:dyDescent="0.3">
      <c r="F112" s="44"/>
    </row>
    <row r="113" spans="6:6" x14ac:dyDescent="0.3">
      <c r="F113" s="44"/>
    </row>
    <row r="114" spans="6:6" x14ac:dyDescent="0.3">
      <c r="F114" s="44"/>
    </row>
    <row r="115" spans="6:6" x14ac:dyDescent="0.3">
      <c r="F115" s="44"/>
    </row>
    <row r="116" spans="6:6" x14ac:dyDescent="0.3">
      <c r="F116" s="44"/>
    </row>
    <row r="117" spans="6:6" x14ac:dyDescent="0.3">
      <c r="F117" s="44"/>
    </row>
    <row r="118" spans="6:6" x14ac:dyDescent="0.3">
      <c r="F118" s="44"/>
    </row>
    <row r="119" spans="6:6" x14ac:dyDescent="0.3">
      <c r="F119" s="44"/>
    </row>
    <row r="120" spans="6:6" x14ac:dyDescent="0.3">
      <c r="F120" s="44"/>
    </row>
    <row r="121" spans="6:6" x14ac:dyDescent="0.3">
      <c r="F121" s="44"/>
    </row>
    <row r="122" spans="6:6" x14ac:dyDescent="0.3">
      <c r="F122" s="44"/>
    </row>
    <row r="123" spans="6:6" x14ac:dyDescent="0.3">
      <c r="F123" s="44"/>
    </row>
    <row r="124" spans="6:6" x14ac:dyDescent="0.3">
      <c r="F124" s="44"/>
    </row>
    <row r="125" spans="6:6" x14ac:dyDescent="0.3">
      <c r="F125" s="44"/>
    </row>
    <row r="126" spans="6:6" x14ac:dyDescent="0.3">
      <c r="F126" s="44"/>
    </row>
    <row r="127" spans="6:6" x14ac:dyDescent="0.3">
      <c r="F127" s="44"/>
    </row>
    <row r="128" spans="6:6" x14ac:dyDescent="0.3">
      <c r="F128" s="44"/>
    </row>
    <row r="129" spans="6:6" x14ac:dyDescent="0.3">
      <c r="F129" s="44"/>
    </row>
    <row r="130" spans="6:6" x14ac:dyDescent="0.3">
      <c r="F130" s="44"/>
    </row>
    <row r="131" spans="6:6" x14ac:dyDescent="0.3">
      <c r="F131" s="44"/>
    </row>
    <row r="132" spans="6:6" x14ac:dyDescent="0.3">
      <c r="F132" s="44"/>
    </row>
    <row r="133" spans="6:6" x14ac:dyDescent="0.3">
      <c r="F133" s="44"/>
    </row>
    <row r="134" spans="6:6" x14ac:dyDescent="0.3">
      <c r="F134" s="44"/>
    </row>
    <row r="135" spans="6:6" x14ac:dyDescent="0.3">
      <c r="F135" s="44"/>
    </row>
    <row r="136" spans="6:6" x14ac:dyDescent="0.3">
      <c r="F136" s="44"/>
    </row>
    <row r="137" spans="6:6" x14ac:dyDescent="0.3">
      <c r="F137" s="44"/>
    </row>
    <row r="138" spans="6:6" x14ac:dyDescent="0.3">
      <c r="F138" s="44"/>
    </row>
    <row r="139" spans="6:6" x14ac:dyDescent="0.3">
      <c r="F139" s="44"/>
    </row>
    <row r="140" spans="6:6" x14ac:dyDescent="0.3">
      <c r="F140" s="44"/>
    </row>
    <row r="141" spans="6:6" x14ac:dyDescent="0.3">
      <c r="F141" s="44"/>
    </row>
    <row r="142" spans="6:6" x14ac:dyDescent="0.3">
      <c r="F142" s="44"/>
    </row>
    <row r="143" spans="6:6" x14ac:dyDescent="0.3">
      <c r="F143" s="44"/>
    </row>
    <row r="144" spans="6:6" x14ac:dyDescent="0.3">
      <c r="F144" s="44"/>
    </row>
    <row r="145" spans="6:6" x14ac:dyDescent="0.3">
      <c r="F145" s="44"/>
    </row>
    <row r="146" spans="6:6" x14ac:dyDescent="0.3">
      <c r="F146" s="44"/>
    </row>
    <row r="147" spans="6:6" x14ac:dyDescent="0.3">
      <c r="F147" s="44"/>
    </row>
    <row r="148" spans="6:6" x14ac:dyDescent="0.3">
      <c r="F148" s="44"/>
    </row>
    <row r="149" spans="6:6" x14ac:dyDescent="0.3">
      <c r="F149" s="44"/>
    </row>
    <row r="150" spans="6:6" x14ac:dyDescent="0.3">
      <c r="F150" s="44"/>
    </row>
    <row r="151" spans="6:6" x14ac:dyDescent="0.3">
      <c r="F151" s="44"/>
    </row>
    <row r="152" spans="6:6" x14ac:dyDescent="0.3">
      <c r="F152" s="44"/>
    </row>
    <row r="153" spans="6:6" x14ac:dyDescent="0.3">
      <c r="F153" s="44"/>
    </row>
    <row r="154" spans="6:6" x14ac:dyDescent="0.3">
      <c r="F154" s="44"/>
    </row>
    <row r="155" spans="6:6" x14ac:dyDescent="0.3">
      <c r="F155" s="44"/>
    </row>
    <row r="156" spans="6:6" x14ac:dyDescent="0.3">
      <c r="F156" s="44"/>
    </row>
    <row r="157" spans="6:6" x14ac:dyDescent="0.3">
      <c r="F157" s="44"/>
    </row>
    <row r="158" spans="6:6" x14ac:dyDescent="0.3">
      <c r="F158" s="44"/>
    </row>
    <row r="159" spans="6:6" x14ac:dyDescent="0.3">
      <c r="F159" s="44"/>
    </row>
    <row r="160" spans="6:6" x14ac:dyDescent="0.3">
      <c r="F160" s="44"/>
    </row>
    <row r="161" spans="6:6" x14ac:dyDescent="0.3">
      <c r="F161" s="44"/>
    </row>
    <row r="162" spans="6:6" x14ac:dyDescent="0.3">
      <c r="F162" s="44"/>
    </row>
    <row r="163" spans="6:6" x14ac:dyDescent="0.3">
      <c r="F163" s="44"/>
    </row>
    <row r="164" spans="6:6" x14ac:dyDescent="0.3">
      <c r="F164" s="44"/>
    </row>
    <row r="165" spans="6:6" x14ac:dyDescent="0.3">
      <c r="F165" s="44"/>
    </row>
    <row r="166" spans="6:6" x14ac:dyDescent="0.3">
      <c r="F166" s="44"/>
    </row>
    <row r="167" spans="6:6" x14ac:dyDescent="0.3">
      <c r="F167" s="44"/>
    </row>
    <row r="168" spans="6:6" x14ac:dyDescent="0.3">
      <c r="F168" s="44"/>
    </row>
    <row r="169" spans="6:6" x14ac:dyDescent="0.3">
      <c r="F169" s="44"/>
    </row>
    <row r="170" spans="6:6" x14ac:dyDescent="0.3">
      <c r="F170" s="44"/>
    </row>
    <row r="171" spans="6:6" x14ac:dyDescent="0.3">
      <c r="F171" s="44"/>
    </row>
    <row r="172" spans="6:6" x14ac:dyDescent="0.3">
      <c r="F172" s="44"/>
    </row>
    <row r="173" spans="6:6" x14ac:dyDescent="0.3">
      <c r="F173" s="44"/>
    </row>
    <row r="174" spans="6:6" x14ac:dyDescent="0.3">
      <c r="F174" s="44"/>
    </row>
    <row r="175" spans="6:6" x14ac:dyDescent="0.3">
      <c r="F175" s="44"/>
    </row>
    <row r="176" spans="6:6" x14ac:dyDescent="0.3">
      <c r="F176" s="44"/>
    </row>
    <row r="177" spans="6:6" x14ac:dyDescent="0.3">
      <c r="F177" s="44"/>
    </row>
    <row r="178" spans="6:6" x14ac:dyDescent="0.3">
      <c r="F178" s="44"/>
    </row>
    <row r="179" spans="6:6" x14ac:dyDescent="0.3">
      <c r="F179" s="44"/>
    </row>
    <row r="180" spans="6:6" x14ac:dyDescent="0.3">
      <c r="F180" s="44"/>
    </row>
    <row r="181" spans="6:6" x14ac:dyDescent="0.3">
      <c r="F181" s="44"/>
    </row>
    <row r="182" spans="6:6" x14ac:dyDescent="0.3">
      <c r="F182" s="44"/>
    </row>
    <row r="183" spans="6:6" x14ac:dyDescent="0.3">
      <c r="F183" s="44"/>
    </row>
    <row r="184" spans="6:6" x14ac:dyDescent="0.3">
      <c r="F184" s="44"/>
    </row>
    <row r="185" spans="6:6" x14ac:dyDescent="0.3">
      <c r="F185" s="44"/>
    </row>
    <row r="186" spans="6:6" x14ac:dyDescent="0.3">
      <c r="F186" s="44"/>
    </row>
    <row r="187" spans="6:6" x14ac:dyDescent="0.3">
      <c r="F187" s="44"/>
    </row>
    <row r="188" spans="6:6" x14ac:dyDescent="0.3">
      <c r="F188" s="44"/>
    </row>
    <row r="189" spans="6:6" x14ac:dyDescent="0.3">
      <c r="F189" s="44"/>
    </row>
    <row r="190" spans="6:6" x14ac:dyDescent="0.3">
      <c r="F190" s="44"/>
    </row>
    <row r="191" spans="6:6" x14ac:dyDescent="0.3">
      <c r="F191" s="44"/>
    </row>
    <row r="192" spans="6:6" x14ac:dyDescent="0.3">
      <c r="F192" s="44"/>
    </row>
    <row r="193" spans="6:6" x14ac:dyDescent="0.3">
      <c r="F193" s="44"/>
    </row>
    <row r="194" spans="6:6" x14ac:dyDescent="0.3">
      <c r="F194" s="44"/>
    </row>
    <row r="195" spans="6:6" x14ac:dyDescent="0.3">
      <c r="F195" s="44"/>
    </row>
    <row r="196" spans="6:6" x14ac:dyDescent="0.3">
      <c r="F196" s="44"/>
    </row>
    <row r="197" spans="6:6" x14ac:dyDescent="0.3">
      <c r="F197" s="44"/>
    </row>
    <row r="198" spans="6:6" x14ac:dyDescent="0.3">
      <c r="F198" s="44"/>
    </row>
    <row r="199" spans="6:6" x14ac:dyDescent="0.3">
      <c r="F199" s="44"/>
    </row>
    <row r="200" spans="6:6" x14ac:dyDescent="0.3">
      <c r="F200" s="44"/>
    </row>
    <row r="201" spans="6:6" x14ac:dyDescent="0.3">
      <c r="F201" s="44"/>
    </row>
    <row r="202" spans="6:6" x14ac:dyDescent="0.3">
      <c r="F202" s="44"/>
    </row>
    <row r="203" spans="6:6" x14ac:dyDescent="0.3">
      <c r="F203" s="44"/>
    </row>
    <row r="204" spans="6:6" x14ac:dyDescent="0.3">
      <c r="F204" s="44"/>
    </row>
    <row r="205" spans="6:6" x14ac:dyDescent="0.3">
      <c r="F205" s="44"/>
    </row>
    <row r="206" spans="6:6" x14ac:dyDescent="0.3">
      <c r="F206" s="44"/>
    </row>
    <row r="207" spans="6:6" x14ac:dyDescent="0.3">
      <c r="F207" s="44"/>
    </row>
    <row r="208" spans="6:6" x14ac:dyDescent="0.3">
      <c r="F208" s="44"/>
    </row>
    <row r="209" spans="6:6" x14ac:dyDescent="0.3">
      <c r="F209" s="44"/>
    </row>
    <row r="210" spans="6:6" x14ac:dyDescent="0.3">
      <c r="F210" s="44"/>
    </row>
    <row r="211" spans="6:6" x14ac:dyDescent="0.3">
      <c r="F211" s="44"/>
    </row>
    <row r="212" spans="6:6" x14ac:dyDescent="0.3">
      <c r="F212" s="44"/>
    </row>
    <row r="213" spans="6:6" x14ac:dyDescent="0.3">
      <c r="F213" s="44"/>
    </row>
    <row r="214" spans="6:6" x14ac:dyDescent="0.3">
      <c r="F214" s="44"/>
    </row>
    <row r="215" spans="6:6" x14ac:dyDescent="0.3">
      <c r="F215" s="44"/>
    </row>
    <row r="216" spans="6:6" x14ac:dyDescent="0.3">
      <c r="F216" s="44"/>
    </row>
    <row r="217" spans="6:6" x14ac:dyDescent="0.3">
      <c r="F217" s="44"/>
    </row>
    <row r="218" spans="6:6" x14ac:dyDescent="0.3">
      <c r="F218" s="44"/>
    </row>
    <row r="219" spans="6:6" x14ac:dyDescent="0.3">
      <c r="F219" s="44"/>
    </row>
    <row r="220" spans="6:6" x14ac:dyDescent="0.3">
      <c r="F220" s="44"/>
    </row>
    <row r="221" spans="6:6" x14ac:dyDescent="0.3">
      <c r="F221" s="44"/>
    </row>
    <row r="222" spans="6:6" x14ac:dyDescent="0.3">
      <c r="F222" s="44"/>
    </row>
    <row r="223" spans="6:6" x14ac:dyDescent="0.3">
      <c r="F223" s="44"/>
    </row>
    <row r="224" spans="6:6" x14ac:dyDescent="0.3">
      <c r="F224" s="44"/>
    </row>
    <row r="225" spans="6:6" x14ac:dyDescent="0.3">
      <c r="F225" s="44"/>
    </row>
    <row r="226" spans="6:6" x14ac:dyDescent="0.3">
      <c r="F226" s="44"/>
    </row>
    <row r="227" spans="6:6" x14ac:dyDescent="0.3">
      <c r="F227" s="44"/>
    </row>
    <row r="228" spans="6:6" x14ac:dyDescent="0.3">
      <c r="F228" s="44"/>
    </row>
    <row r="229" spans="6:6" x14ac:dyDescent="0.3">
      <c r="F229" s="44"/>
    </row>
    <row r="230" spans="6:6" x14ac:dyDescent="0.3">
      <c r="F230" s="44"/>
    </row>
    <row r="231" spans="6:6" x14ac:dyDescent="0.3">
      <c r="F231" s="44"/>
    </row>
    <row r="232" spans="6:6" x14ac:dyDescent="0.3">
      <c r="F232" s="44"/>
    </row>
    <row r="233" spans="6:6" x14ac:dyDescent="0.3">
      <c r="F233" s="44"/>
    </row>
    <row r="234" spans="6:6" x14ac:dyDescent="0.3">
      <c r="F234" s="44"/>
    </row>
    <row r="235" spans="6:6" x14ac:dyDescent="0.3">
      <c r="F235" s="44"/>
    </row>
    <row r="236" spans="6:6" x14ac:dyDescent="0.3">
      <c r="F236" s="44"/>
    </row>
    <row r="237" spans="6:6" x14ac:dyDescent="0.3">
      <c r="F237" s="44"/>
    </row>
    <row r="238" spans="6:6" x14ac:dyDescent="0.3">
      <c r="F238" s="44"/>
    </row>
    <row r="239" spans="6:6" x14ac:dyDescent="0.3">
      <c r="F239" s="44"/>
    </row>
    <row r="240" spans="6:6" x14ac:dyDescent="0.3">
      <c r="F240" s="44"/>
    </row>
    <row r="241" spans="6:6" x14ac:dyDescent="0.3">
      <c r="F241" s="44"/>
    </row>
    <row r="242" spans="6:6" x14ac:dyDescent="0.3">
      <c r="F242" s="44"/>
    </row>
    <row r="243" spans="6:6" x14ac:dyDescent="0.3">
      <c r="F243" s="44"/>
    </row>
    <row r="244" spans="6:6" x14ac:dyDescent="0.3">
      <c r="F244" s="44"/>
    </row>
    <row r="245" spans="6:6" x14ac:dyDescent="0.3">
      <c r="F245" s="44"/>
    </row>
    <row r="246" spans="6:6" x14ac:dyDescent="0.3">
      <c r="F246" s="44"/>
    </row>
    <row r="247" spans="6:6" x14ac:dyDescent="0.3">
      <c r="F247" s="44"/>
    </row>
    <row r="248" spans="6:6" x14ac:dyDescent="0.3">
      <c r="F248" s="44"/>
    </row>
    <row r="249" spans="6:6" x14ac:dyDescent="0.3">
      <c r="F249" s="44"/>
    </row>
    <row r="250" spans="6:6" x14ac:dyDescent="0.3">
      <c r="F250" s="44"/>
    </row>
    <row r="251" spans="6:6" x14ac:dyDescent="0.3">
      <c r="F251" s="44"/>
    </row>
    <row r="252" spans="6:6" x14ac:dyDescent="0.3">
      <c r="F252" s="44"/>
    </row>
    <row r="253" spans="6:6" x14ac:dyDescent="0.3">
      <c r="F253" s="44"/>
    </row>
    <row r="254" spans="6:6" x14ac:dyDescent="0.3">
      <c r="F254" s="44"/>
    </row>
    <row r="255" spans="6:6" x14ac:dyDescent="0.3">
      <c r="F255" s="44"/>
    </row>
    <row r="256" spans="6:6" x14ac:dyDescent="0.3">
      <c r="F256" s="44"/>
    </row>
    <row r="257" spans="6:6" x14ac:dyDescent="0.3">
      <c r="F257" s="44"/>
    </row>
    <row r="258" spans="6:6" x14ac:dyDescent="0.3">
      <c r="F258" s="44"/>
    </row>
    <row r="259" spans="6:6" x14ac:dyDescent="0.3">
      <c r="F259" s="44"/>
    </row>
    <row r="260" spans="6:6" x14ac:dyDescent="0.3">
      <c r="F260" s="44"/>
    </row>
    <row r="261" spans="6:6" x14ac:dyDescent="0.3">
      <c r="F261" s="44"/>
    </row>
    <row r="262" spans="6:6" x14ac:dyDescent="0.3">
      <c r="F262" s="44"/>
    </row>
    <row r="263" spans="6:6" x14ac:dyDescent="0.3">
      <c r="F263" s="44"/>
    </row>
    <row r="264" spans="6:6" x14ac:dyDescent="0.3">
      <c r="F264" s="44"/>
    </row>
    <row r="265" spans="6:6" x14ac:dyDescent="0.3">
      <c r="F265" s="44"/>
    </row>
    <row r="266" spans="6:6" x14ac:dyDescent="0.3">
      <c r="F266" s="44"/>
    </row>
    <row r="267" spans="6:6" x14ac:dyDescent="0.3">
      <c r="F267" s="44"/>
    </row>
    <row r="268" spans="6:6" x14ac:dyDescent="0.3">
      <c r="F268" s="44"/>
    </row>
    <row r="269" spans="6:6" x14ac:dyDescent="0.3">
      <c r="F269" s="44"/>
    </row>
    <row r="270" spans="6:6" x14ac:dyDescent="0.3">
      <c r="F270" s="44"/>
    </row>
    <row r="271" spans="6:6" x14ac:dyDescent="0.3">
      <c r="F271" s="44"/>
    </row>
    <row r="272" spans="6:6" x14ac:dyDescent="0.3">
      <c r="F272" s="44"/>
    </row>
    <row r="273" spans="6:6" x14ac:dyDescent="0.3">
      <c r="F273" s="44"/>
    </row>
    <row r="274" spans="6:6" x14ac:dyDescent="0.3">
      <c r="F274" s="44"/>
    </row>
    <row r="275" spans="6:6" x14ac:dyDescent="0.3">
      <c r="F275" s="44"/>
    </row>
    <row r="276" spans="6:6" x14ac:dyDescent="0.3">
      <c r="F276" s="44"/>
    </row>
    <row r="277" spans="6:6" x14ac:dyDescent="0.3">
      <c r="F277" s="44"/>
    </row>
    <row r="278" spans="6:6" x14ac:dyDescent="0.3">
      <c r="F278" s="44"/>
    </row>
    <row r="279" spans="6:6" x14ac:dyDescent="0.3">
      <c r="F279" s="44"/>
    </row>
    <row r="280" spans="6:6" x14ac:dyDescent="0.3">
      <c r="F280" s="44"/>
    </row>
    <row r="281" spans="6:6" x14ac:dyDescent="0.3">
      <c r="F281" s="44"/>
    </row>
    <row r="282" spans="6:6" x14ac:dyDescent="0.3">
      <c r="F282" s="44"/>
    </row>
    <row r="283" spans="6:6" x14ac:dyDescent="0.3">
      <c r="F283" s="44"/>
    </row>
    <row r="284" spans="6:6" x14ac:dyDescent="0.3">
      <c r="F284" s="44"/>
    </row>
    <row r="285" spans="6:6" x14ac:dyDescent="0.3">
      <c r="F285" s="44"/>
    </row>
    <row r="286" spans="6:6" x14ac:dyDescent="0.3">
      <c r="F286" s="44"/>
    </row>
    <row r="287" spans="6:6" x14ac:dyDescent="0.3">
      <c r="F287" s="44"/>
    </row>
    <row r="288" spans="6:6" x14ac:dyDescent="0.3">
      <c r="F288" s="44"/>
    </row>
    <row r="289" spans="6:6" x14ac:dyDescent="0.3">
      <c r="F289" s="44"/>
    </row>
    <row r="290" spans="6:6" x14ac:dyDescent="0.3">
      <c r="F290" s="44"/>
    </row>
    <row r="291" spans="6:6" x14ac:dyDescent="0.3">
      <c r="F291" s="44"/>
    </row>
    <row r="292" spans="6:6" x14ac:dyDescent="0.3">
      <c r="F292" s="44"/>
    </row>
    <row r="293" spans="6:6" x14ac:dyDescent="0.3">
      <c r="F293" s="44"/>
    </row>
    <row r="294" spans="6:6" x14ac:dyDescent="0.3">
      <c r="F294" s="44"/>
    </row>
    <row r="295" spans="6:6" x14ac:dyDescent="0.3">
      <c r="F295" s="44"/>
    </row>
    <row r="296" spans="6:6" x14ac:dyDescent="0.3">
      <c r="F296" s="44"/>
    </row>
    <row r="297" spans="6:6" x14ac:dyDescent="0.3">
      <c r="F297" s="44"/>
    </row>
    <row r="298" spans="6:6" x14ac:dyDescent="0.3">
      <c r="F298" s="44"/>
    </row>
    <row r="299" spans="6:6" x14ac:dyDescent="0.3">
      <c r="F299" s="44"/>
    </row>
    <row r="300" spans="6:6" x14ac:dyDescent="0.3">
      <c r="F300" s="44"/>
    </row>
    <row r="301" spans="6:6" x14ac:dyDescent="0.3">
      <c r="F301" s="44"/>
    </row>
    <row r="302" spans="6:6" x14ac:dyDescent="0.3">
      <c r="F302" s="44"/>
    </row>
    <row r="303" spans="6:6" x14ac:dyDescent="0.3">
      <c r="F303" s="44"/>
    </row>
    <row r="304" spans="6:6" x14ac:dyDescent="0.3">
      <c r="F304" s="44"/>
    </row>
    <row r="305" spans="6:6" x14ac:dyDescent="0.3">
      <c r="F305" s="44"/>
    </row>
    <row r="306" spans="6:6" x14ac:dyDescent="0.3">
      <c r="F306" s="44"/>
    </row>
    <row r="307" spans="6:6" x14ac:dyDescent="0.3">
      <c r="F307" s="44"/>
    </row>
    <row r="308" spans="6:6" x14ac:dyDescent="0.3">
      <c r="F308" s="44"/>
    </row>
    <row r="309" spans="6:6" x14ac:dyDescent="0.3">
      <c r="F309" s="44"/>
    </row>
    <row r="310" spans="6:6" x14ac:dyDescent="0.3">
      <c r="F310" s="44"/>
    </row>
    <row r="311" spans="6:6" x14ac:dyDescent="0.3">
      <c r="F311" s="44"/>
    </row>
    <row r="312" spans="6:6" x14ac:dyDescent="0.3">
      <c r="F312" s="44"/>
    </row>
    <row r="313" spans="6:6" x14ac:dyDescent="0.3">
      <c r="F313" s="44"/>
    </row>
    <row r="314" spans="6:6" x14ac:dyDescent="0.3">
      <c r="F314" s="44"/>
    </row>
    <row r="315" spans="6:6" x14ac:dyDescent="0.3">
      <c r="F315" s="44"/>
    </row>
    <row r="316" spans="6:6" x14ac:dyDescent="0.3">
      <c r="F316" s="44"/>
    </row>
    <row r="317" spans="6:6" x14ac:dyDescent="0.3">
      <c r="F317" s="44"/>
    </row>
    <row r="318" spans="6:6" x14ac:dyDescent="0.3">
      <c r="F318" s="44"/>
    </row>
    <row r="319" spans="6:6" x14ac:dyDescent="0.3">
      <c r="F319" s="44"/>
    </row>
    <row r="320" spans="6:6" x14ac:dyDescent="0.3">
      <c r="F320" s="44"/>
    </row>
    <row r="321" spans="6:6" x14ac:dyDescent="0.3">
      <c r="F321" s="44"/>
    </row>
    <row r="322" spans="6:6" x14ac:dyDescent="0.3">
      <c r="F322" s="44"/>
    </row>
    <row r="323" spans="6:6" x14ac:dyDescent="0.3">
      <c r="F323" s="44"/>
    </row>
    <row r="324" spans="6:6" x14ac:dyDescent="0.3">
      <c r="F324" s="44"/>
    </row>
    <row r="325" spans="6:6" x14ac:dyDescent="0.3">
      <c r="F325" s="44"/>
    </row>
    <row r="326" spans="6:6" x14ac:dyDescent="0.3">
      <c r="F326" s="44"/>
    </row>
    <row r="327" spans="6:6" x14ac:dyDescent="0.3">
      <c r="F327" s="44"/>
    </row>
    <row r="328" spans="6:6" x14ac:dyDescent="0.3">
      <c r="F328" s="44"/>
    </row>
    <row r="329" spans="6:6" x14ac:dyDescent="0.3">
      <c r="F329" s="44"/>
    </row>
    <row r="330" spans="6:6" x14ac:dyDescent="0.3">
      <c r="F330" s="44"/>
    </row>
    <row r="331" spans="6:6" x14ac:dyDescent="0.3">
      <c r="F331" s="44"/>
    </row>
    <row r="332" spans="6:6" x14ac:dyDescent="0.3">
      <c r="F332" s="44"/>
    </row>
    <row r="333" spans="6:6" x14ac:dyDescent="0.3">
      <c r="F333" s="44"/>
    </row>
    <row r="334" spans="6:6" x14ac:dyDescent="0.3">
      <c r="F334" s="44"/>
    </row>
    <row r="335" spans="6:6" x14ac:dyDescent="0.3">
      <c r="F335" s="44"/>
    </row>
    <row r="336" spans="6:6" x14ac:dyDescent="0.3">
      <c r="F336" s="44"/>
    </row>
    <row r="337" spans="6:6" x14ac:dyDescent="0.3">
      <c r="F337" s="44"/>
    </row>
    <row r="338" spans="6:6" x14ac:dyDescent="0.3">
      <c r="F338" s="44"/>
    </row>
    <row r="339" spans="6:6" x14ac:dyDescent="0.3">
      <c r="F339" s="44"/>
    </row>
    <row r="340" spans="6:6" x14ac:dyDescent="0.3">
      <c r="F340" s="44"/>
    </row>
    <row r="341" spans="6:6" x14ac:dyDescent="0.3">
      <c r="F341" s="44"/>
    </row>
    <row r="342" spans="6:6" x14ac:dyDescent="0.3">
      <c r="F342" s="44"/>
    </row>
    <row r="343" spans="6:6" x14ac:dyDescent="0.3">
      <c r="F343" s="44"/>
    </row>
    <row r="344" spans="6:6" x14ac:dyDescent="0.3">
      <c r="F344" s="44"/>
    </row>
    <row r="345" spans="6:6" x14ac:dyDescent="0.3">
      <c r="F345" s="4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H347"/>
  <sheetViews>
    <sheetView workbookViewId="0">
      <selection sqref="A1:H345"/>
    </sheetView>
  </sheetViews>
  <sheetFormatPr defaultRowHeight="14.4" x14ac:dyDescent="0.3"/>
  <cols>
    <col min="1" max="1" width="16.6640625" style="17" bestFit="1" customWidth="1"/>
    <col min="2" max="2" width="20.33203125" style="16" customWidth="1"/>
    <col min="3" max="3" width="8.88671875" style="16"/>
    <col min="4" max="4" width="10.6640625" style="16" customWidth="1"/>
    <col min="5" max="5" width="12.109375" style="16" customWidth="1"/>
    <col min="6" max="6" width="12.33203125" style="16" customWidth="1"/>
    <col min="7" max="7" width="11.33203125" style="16" bestFit="1" customWidth="1"/>
    <col min="8" max="8" width="10.33203125" style="16" bestFit="1" customWidth="1"/>
  </cols>
  <sheetData>
    <row r="1" spans="1:8" x14ac:dyDescent="0.3">
      <c r="A1" s="42" t="s">
        <v>0</v>
      </c>
      <c r="B1" s="43" t="s">
        <v>3</v>
      </c>
      <c r="C1" s="43" t="s">
        <v>11</v>
      </c>
      <c r="D1" s="43" t="s">
        <v>4</v>
      </c>
      <c r="E1" s="44" t="s">
        <v>13</v>
      </c>
      <c r="F1" s="43" t="s">
        <v>5</v>
      </c>
      <c r="G1" s="43" t="s">
        <v>8</v>
      </c>
      <c r="H1" s="43" t="s">
        <v>15</v>
      </c>
    </row>
    <row r="2" spans="1:8" x14ac:dyDescent="0.3">
      <c r="A2" s="45">
        <v>2021000061</v>
      </c>
      <c r="B2" s="46" t="s">
        <v>79</v>
      </c>
      <c r="C2" s="46">
        <v>1</v>
      </c>
      <c r="D2" s="47">
        <v>230</v>
      </c>
      <c r="E2" s="47">
        <v>230</v>
      </c>
      <c r="F2" s="44">
        <v>44410</v>
      </c>
      <c r="G2" s="47" t="s">
        <v>242</v>
      </c>
      <c r="H2" s="48">
        <v>1</v>
      </c>
    </row>
    <row r="3" spans="1:8" x14ac:dyDescent="0.3">
      <c r="A3" s="45">
        <v>2021000184</v>
      </c>
      <c r="B3" s="46" t="s">
        <v>200</v>
      </c>
      <c r="C3" s="46">
        <v>1</v>
      </c>
      <c r="D3" s="47">
        <v>150</v>
      </c>
      <c r="E3" s="47">
        <v>150</v>
      </c>
      <c r="F3" s="44">
        <v>44410</v>
      </c>
      <c r="G3" s="47" t="s">
        <v>242</v>
      </c>
      <c r="H3" s="48">
        <v>2</v>
      </c>
    </row>
    <row r="4" spans="1:8" x14ac:dyDescent="0.3">
      <c r="A4" s="45">
        <v>2021000054</v>
      </c>
      <c r="B4" s="46" t="s">
        <v>72</v>
      </c>
      <c r="C4" s="46">
        <v>1</v>
      </c>
      <c r="D4" s="47">
        <v>70</v>
      </c>
      <c r="E4" s="47">
        <v>70</v>
      </c>
      <c r="F4" s="44">
        <v>44410</v>
      </c>
      <c r="G4" s="47" t="s">
        <v>242</v>
      </c>
      <c r="H4" s="48">
        <v>3</v>
      </c>
    </row>
    <row r="5" spans="1:8" x14ac:dyDescent="0.3">
      <c r="A5" s="45">
        <v>2021000145</v>
      </c>
      <c r="B5" s="46" t="s">
        <v>329</v>
      </c>
      <c r="C5" s="46">
        <v>1</v>
      </c>
      <c r="D5" s="47">
        <v>60</v>
      </c>
      <c r="E5" s="47">
        <v>60</v>
      </c>
      <c r="F5" s="44">
        <v>44410</v>
      </c>
      <c r="G5" s="47" t="s">
        <v>242</v>
      </c>
      <c r="H5" s="48">
        <v>4</v>
      </c>
    </row>
    <row r="6" spans="1:8" x14ac:dyDescent="0.3">
      <c r="A6" s="45">
        <v>2021000157</v>
      </c>
      <c r="B6" s="46" t="s">
        <v>174</v>
      </c>
      <c r="C6" s="46">
        <v>1</v>
      </c>
      <c r="D6" s="47">
        <v>60</v>
      </c>
      <c r="E6" s="47">
        <v>60</v>
      </c>
      <c r="F6" s="44">
        <v>44410</v>
      </c>
      <c r="G6" s="47" t="s">
        <v>242</v>
      </c>
      <c r="H6" s="48">
        <v>5</v>
      </c>
    </row>
    <row r="7" spans="1:8" x14ac:dyDescent="0.3">
      <c r="A7" s="45">
        <v>2021000090</v>
      </c>
      <c r="B7" s="46" t="s">
        <v>108</v>
      </c>
      <c r="C7" s="46">
        <v>1</v>
      </c>
      <c r="D7" s="47">
        <v>50</v>
      </c>
      <c r="E7" s="47">
        <v>50</v>
      </c>
      <c r="F7" s="44">
        <v>44410</v>
      </c>
      <c r="G7" s="47" t="s">
        <v>242</v>
      </c>
      <c r="H7" s="48">
        <v>6</v>
      </c>
    </row>
    <row r="8" spans="1:8" x14ac:dyDescent="0.3">
      <c r="A8" s="45">
        <v>2021000080</v>
      </c>
      <c r="B8" s="46" t="s">
        <v>98</v>
      </c>
      <c r="C8" s="46">
        <v>1</v>
      </c>
      <c r="D8" s="47">
        <v>230</v>
      </c>
      <c r="E8" s="47">
        <v>230</v>
      </c>
      <c r="F8" s="44">
        <v>44410</v>
      </c>
      <c r="G8" s="47" t="s">
        <v>242</v>
      </c>
      <c r="H8" s="48">
        <v>7</v>
      </c>
    </row>
    <row r="9" spans="1:8" x14ac:dyDescent="0.3">
      <c r="A9" s="45">
        <v>2021000090</v>
      </c>
      <c r="B9" s="46" t="s">
        <v>108</v>
      </c>
      <c r="C9" s="46">
        <v>1</v>
      </c>
      <c r="D9" s="47">
        <v>50</v>
      </c>
      <c r="E9" s="47">
        <v>50</v>
      </c>
      <c r="F9" s="44">
        <v>44410</v>
      </c>
      <c r="G9" s="47" t="s">
        <v>246</v>
      </c>
      <c r="H9" s="48">
        <v>8</v>
      </c>
    </row>
    <row r="10" spans="1:8" x14ac:dyDescent="0.3">
      <c r="A10" s="45">
        <v>2021000157</v>
      </c>
      <c r="B10" s="46" t="s">
        <v>174</v>
      </c>
      <c r="C10" s="46">
        <v>1</v>
      </c>
      <c r="D10" s="47">
        <v>60</v>
      </c>
      <c r="E10" s="47">
        <v>60</v>
      </c>
      <c r="F10" s="44">
        <v>44410</v>
      </c>
      <c r="G10" s="47" t="s">
        <v>246</v>
      </c>
      <c r="H10" s="48">
        <v>9</v>
      </c>
    </row>
    <row r="11" spans="1:8" x14ac:dyDescent="0.3">
      <c r="A11" s="45">
        <v>2021000158</v>
      </c>
      <c r="B11" s="46" t="s">
        <v>175</v>
      </c>
      <c r="C11" s="46">
        <v>1</v>
      </c>
      <c r="D11" s="47">
        <v>40</v>
      </c>
      <c r="E11" s="47">
        <v>40</v>
      </c>
      <c r="F11" s="44">
        <v>44410</v>
      </c>
      <c r="G11" s="47" t="s">
        <v>246</v>
      </c>
      <c r="H11" s="48">
        <v>10</v>
      </c>
    </row>
    <row r="12" spans="1:8" x14ac:dyDescent="0.3">
      <c r="A12" s="45">
        <v>2021000304</v>
      </c>
      <c r="B12" s="46" t="s">
        <v>362</v>
      </c>
      <c r="C12" s="46">
        <v>1</v>
      </c>
      <c r="D12" s="47">
        <v>270</v>
      </c>
      <c r="E12" s="47">
        <v>270</v>
      </c>
      <c r="F12" s="44">
        <v>44410</v>
      </c>
      <c r="G12" s="47" t="s">
        <v>246</v>
      </c>
      <c r="H12" s="48">
        <v>11</v>
      </c>
    </row>
    <row r="13" spans="1:8" x14ac:dyDescent="0.3">
      <c r="A13" s="45">
        <v>2021000130</v>
      </c>
      <c r="B13" s="46" t="s">
        <v>148</v>
      </c>
      <c r="C13" s="46">
        <v>1</v>
      </c>
      <c r="D13" s="47">
        <v>74.08</v>
      </c>
      <c r="E13" s="47">
        <v>74.08</v>
      </c>
      <c r="F13" s="44">
        <v>44410</v>
      </c>
      <c r="G13" s="47" t="s">
        <v>243</v>
      </c>
      <c r="H13" s="48">
        <v>12</v>
      </c>
    </row>
    <row r="14" spans="1:8" x14ac:dyDescent="0.3">
      <c r="A14" s="45">
        <v>2021000094</v>
      </c>
      <c r="B14" s="46" t="s">
        <v>112</v>
      </c>
      <c r="C14" s="46">
        <v>1</v>
      </c>
      <c r="D14" s="47">
        <v>61.5</v>
      </c>
      <c r="E14" s="47">
        <v>61.5</v>
      </c>
      <c r="F14" s="44">
        <v>44410</v>
      </c>
      <c r="G14" s="47" t="s">
        <v>361</v>
      </c>
      <c r="H14" s="48">
        <v>13</v>
      </c>
    </row>
    <row r="15" spans="1:8" x14ac:dyDescent="0.3">
      <c r="A15" s="45">
        <v>2021000076</v>
      </c>
      <c r="B15" s="46" t="s">
        <v>301</v>
      </c>
      <c r="C15" s="46">
        <v>1</v>
      </c>
      <c r="D15" s="47">
        <v>186.05</v>
      </c>
      <c r="E15" s="47">
        <v>186.05</v>
      </c>
      <c r="F15" s="44">
        <v>44410</v>
      </c>
      <c r="G15" s="47" t="s">
        <v>243</v>
      </c>
      <c r="H15" s="48">
        <v>14</v>
      </c>
    </row>
    <row r="16" spans="1:8" x14ac:dyDescent="0.3">
      <c r="A16" s="45">
        <v>2021000275</v>
      </c>
      <c r="B16" s="46" t="s">
        <v>325</v>
      </c>
      <c r="C16" s="46">
        <v>1</v>
      </c>
      <c r="D16" s="47">
        <v>14.72</v>
      </c>
      <c r="E16" s="47">
        <v>14.72</v>
      </c>
      <c r="F16" s="44">
        <v>44411</v>
      </c>
      <c r="G16" s="47" t="s">
        <v>243</v>
      </c>
      <c r="H16" s="48">
        <v>15</v>
      </c>
    </row>
    <row r="17" spans="1:8" x14ac:dyDescent="0.3">
      <c r="A17" s="45">
        <v>2021000276</v>
      </c>
      <c r="B17" s="46" t="s">
        <v>326</v>
      </c>
      <c r="C17" s="46">
        <v>1</v>
      </c>
      <c r="D17" s="47">
        <v>14.72</v>
      </c>
      <c r="E17" s="47">
        <v>14.72</v>
      </c>
      <c r="F17" s="44">
        <v>44411</v>
      </c>
      <c r="G17" s="47" t="s">
        <v>243</v>
      </c>
      <c r="H17" s="48">
        <v>16</v>
      </c>
    </row>
    <row r="18" spans="1:8" x14ac:dyDescent="0.3">
      <c r="A18" s="45">
        <v>2021000219</v>
      </c>
      <c r="B18" s="46" t="s">
        <v>234</v>
      </c>
      <c r="C18" s="46">
        <v>1</v>
      </c>
      <c r="D18" s="47">
        <v>14.72</v>
      </c>
      <c r="E18" s="47">
        <v>14.72</v>
      </c>
      <c r="F18" s="44">
        <v>44411</v>
      </c>
      <c r="G18" s="47" t="s">
        <v>243</v>
      </c>
      <c r="H18" s="48">
        <v>17</v>
      </c>
    </row>
    <row r="19" spans="1:8" x14ac:dyDescent="0.3">
      <c r="A19" s="45">
        <v>2021000220</v>
      </c>
      <c r="B19" s="46" t="s">
        <v>235</v>
      </c>
      <c r="C19" s="46">
        <v>1</v>
      </c>
      <c r="D19" s="47">
        <v>14.72</v>
      </c>
      <c r="E19" s="47">
        <v>14.72</v>
      </c>
      <c r="F19" s="44">
        <v>44411</v>
      </c>
      <c r="G19" s="47" t="s">
        <v>243</v>
      </c>
      <c r="H19" s="48">
        <v>18</v>
      </c>
    </row>
    <row r="20" spans="1:8" x14ac:dyDescent="0.3">
      <c r="A20" s="45">
        <v>2021000138</v>
      </c>
      <c r="B20" s="46" t="s">
        <v>156</v>
      </c>
      <c r="C20" s="46">
        <v>1</v>
      </c>
      <c r="D20" s="47">
        <v>47.86</v>
      </c>
      <c r="E20" s="47">
        <v>47.86</v>
      </c>
      <c r="F20" s="44">
        <v>44411</v>
      </c>
      <c r="G20" s="47" t="s">
        <v>245</v>
      </c>
      <c r="H20" s="48">
        <v>19</v>
      </c>
    </row>
    <row r="21" spans="1:8" x14ac:dyDescent="0.3">
      <c r="A21" s="45">
        <v>2021000269</v>
      </c>
      <c r="B21" s="46" t="s">
        <v>318</v>
      </c>
      <c r="C21" s="46">
        <v>1</v>
      </c>
      <c r="D21" s="47">
        <v>120</v>
      </c>
      <c r="E21" s="47">
        <v>120</v>
      </c>
      <c r="F21" s="44">
        <v>44411</v>
      </c>
      <c r="G21" s="47" t="s">
        <v>246</v>
      </c>
      <c r="H21" s="48">
        <v>20</v>
      </c>
    </row>
    <row r="22" spans="1:8" x14ac:dyDescent="0.3">
      <c r="A22" s="45">
        <v>2021000303</v>
      </c>
      <c r="B22" s="46" t="s">
        <v>363</v>
      </c>
      <c r="C22" s="46">
        <v>1</v>
      </c>
      <c r="D22" s="47">
        <v>150</v>
      </c>
      <c r="E22" s="47">
        <v>150</v>
      </c>
      <c r="F22" s="44">
        <v>44411</v>
      </c>
      <c r="G22" s="47" t="s">
        <v>246</v>
      </c>
      <c r="H22" s="48">
        <v>21</v>
      </c>
    </row>
    <row r="23" spans="1:8" x14ac:dyDescent="0.3">
      <c r="A23" s="45">
        <v>2021000090</v>
      </c>
      <c r="B23" s="46" t="s">
        <v>108</v>
      </c>
      <c r="C23" s="46">
        <v>1</v>
      </c>
      <c r="D23" s="47">
        <v>50</v>
      </c>
      <c r="E23" s="47">
        <v>50</v>
      </c>
      <c r="F23" s="44">
        <v>44411</v>
      </c>
      <c r="G23" s="47" t="s">
        <v>246</v>
      </c>
      <c r="H23" s="48">
        <v>22</v>
      </c>
    </row>
    <row r="24" spans="1:8" x14ac:dyDescent="0.3">
      <c r="A24" s="45">
        <v>2021000157</v>
      </c>
      <c r="B24" s="46" t="s">
        <v>174</v>
      </c>
      <c r="C24" s="46">
        <v>1</v>
      </c>
      <c r="D24" s="47">
        <v>60</v>
      </c>
      <c r="E24" s="47">
        <v>60</v>
      </c>
      <c r="F24" s="44">
        <v>44411</v>
      </c>
      <c r="G24" s="47" t="s">
        <v>246</v>
      </c>
      <c r="H24" s="48">
        <v>23</v>
      </c>
    </row>
    <row r="25" spans="1:8" x14ac:dyDescent="0.3">
      <c r="A25" s="45">
        <v>2021000158</v>
      </c>
      <c r="B25" s="46" t="s">
        <v>175</v>
      </c>
      <c r="C25" s="46">
        <v>1</v>
      </c>
      <c r="D25" s="47">
        <v>40</v>
      </c>
      <c r="E25" s="47">
        <v>40</v>
      </c>
      <c r="F25" s="44">
        <v>44411</v>
      </c>
      <c r="G25" s="47" t="s">
        <v>246</v>
      </c>
      <c r="H25" s="48">
        <v>24</v>
      </c>
    </row>
    <row r="26" spans="1:8" x14ac:dyDescent="0.3">
      <c r="A26" s="45">
        <v>2021000258</v>
      </c>
      <c r="B26" s="46" t="s">
        <v>304</v>
      </c>
      <c r="C26" s="46">
        <v>1</v>
      </c>
      <c r="D26" s="47">
        <v>40</v>
      </c>
      <c r="E26" s="47">
        <v>40</v>
      </c>
      <c r="F26" s="44">
        <v>44411</v>
      </c>
      <c r="G26" s="47" t="s">
        <v>246</v>
      </c>
      <c r="H26" s="48">
        <v>25</v>
      </c>
    </row>
    <row r="27" spans="1:8" x14ac:dyDescent="0.3">
      <c r="A27" s="45">
        <v>2021000169</v>
      </c>
      <c r="B27" s="46" t="s">
        <v>185</v>
      </c>
      <c r="C27" s="46">
        <v>7</v>
      </c>
      <c r="D27" s="47">
        <v>55</v>
      </c>
      <c r="E27" s="47">
        <v>385</v>
      </c>
      <c r="F27" s="44">
        <v>44411</v>
      </c>
      <c r="G27" s="47" t="s">
        <v>242</v>
      </c>
      <c r="H27" s="48">
        <v>26</v>
      </c>
    </row>
    <row r="28" spans="1:8" x14ac:dyDescent="0.3">
      <c r="A28" s="45">
        <v>2021000249</v>
      </c>
      <c r="B28" s="46" t="s">
        <v>285</v>
      </c>
      <c r="C28" s="46">
        <v>1</v>
      </c>
      <c r="D28" s="47">
        <v>150</v>
      </c>
      <c r="E28" s="47">
        <v>150</v>
      </c>
      <c r="F28" s="44">
        <v>44412</v>
      </c>
      <c r="G28" s="47" t="s">
        <v>246</v>
      </c>
      <c r="H28" s="48">
        <v>27</v>
      </c>
    </row>
    <row r="29" spans="1:8" x14ac:dyDescent="0.3">
      <c r="A29" s="45">
        <v>2021000273</v>
      </c>
      <c r="B29" s="46" t="s">
        <v>323</v>
      </c>
      <c r="C29" s="46">
        <v>1</v>
      </c>
      <c r="D29" s="47">
        <v>40</v>
      </c>
      <c r="E29" s="47">
        <v>40</v>
      </c>
      <c r="F29" s="44">
        <v>44412</v>
      </c>
      <c r="G29" s="47" t="s">
        <v>246</v>
      </c>
      <c r="H29" s="48">
        <v>28</v>
      </c>
    </row>
    <row r="30" spans="1:8" x14ac:dyDescent="0.3">
      <c r="A30" s="45">
        <v>2021000080</v>
      </c>
      <c r="B30" s="46" t="s">
        <v>98</v>
      </c>
      <c r="C30" s="46">
        <v>1</v>
      </c>
      <c r="D30" s="47">
        <v>203</v>
      </c>
      <c r="E30" s="47">
        <v>203</v>
      </c>
      <c r="F30" s="44">
        <v>44412</v>
      </c>
      <c r="G30" s="47" t="s">
        <v>245</v>
      </c>
      <c r="H30" s="48">
        <v>29</v>
      </c>
    </row>
    <row r="31" spans="1:8" x14ac:dyDescent="0.3">
      <c r="A31" s="45">
        <v>2021000080</v>
      </c>
      <c r="B31" s="46" t="s">
        <v>98</v>
      </c>
      <c r="C31" s="46">
        <v>1</v>
      </c>
      <c r="D31" s="47">
        <v>181.09</v>
      </c>
      <c r="E31" s="47">
        <v>181.09</v>
      </c>
      <c r="F31" s="44">
        <v>44412</v>
      </c>
      <c r="G31" s="47" t="s">
        <v>243</v>
      </c>
      <c r="H31" s="48">
        <v>30</v>
      </c>
    </row>
    <row r="32" spans="1:8" x14ac:dyDescent="0.3">
      <c r="A32" s="45">
        <v>2021000145</v>
      </c>
      <c r="B32" s="46" t="s">
        <v>329</v>
      </c>
      <c r="C32" s="46">
        <v>1</v>
      </c>
      <c r="D32" s="47">
        <v>54.5</v>
      </c>
      <c r="E32" s="47">
        <v>54.5</v>
      </c>
      <c r="F32" s="44">
        <v>44412</v>
      </c>
      <c r="G32" s="47" t="s">
        <v>243</v>
      </c>
      <c r="H32" s="48">
        <v>31</v>
      </c>
    </row>
    <row r="33" spans="1:8" x14ac:dyDescent="0.3">
      <c r="A33" s="45">
        <v>2021000103</v>
      </c>
      <c r="B33" s="46" t="s">
        <v>121</v>
      </c>
      <c r="C33" s="46">
        <v>1</v>
      </c>
      <c r="D33" s="47">
        <v>48.29</v>
      </c>
      <c r="E33" s="47">
        <v>48.29</v>
      </c>
      <c r="F33" s="44">
        <v>44412</v>
      </c>
      <c r="G33" s="47" t="s">
        <v>243</v>
      </c>
      <c r="H33" s="48">
        <v>32</v>
      </c>
    </row>
    <row r="34" spans="1:8" x14ac:dyDescent="0.3">
      <c r="A34" s="45">
        <v>2021000204</v>
      </c>
      <c r="B34" s="46" t="s">
        <v>220</v>
      </c>
      <c r="C34" s="46">
        <v>1</v>
      </c>
      <c r="D34" s="47">
        <v>160</v>
      </c>
      <c r="E34" s="47">
        <v>160</v>
      </c>
      <c r="F34" s="44">
        <v>44412</v>
      </c>
      <c r="G34" s="47" t="s">
        <v>246</v>
      </c>
      <c r="H34" s="48">
        <v>33</v>
      </c>
    </row>
    <row r="35" spans="1:8" x14ac:dyDescent="0.3">
      <c r="A35" s="45">
        <v>2021000289</v>
      </c>
      <c r="B35" s="46" t="s">
        <v>345</v>
      </c>
      <c r="C35" s="46">
        <v>1</v>
      </c>
      <c r="D35" s="47">
        <v>40</v>
      </c>
      <c r="E35" s="47">
        <v>40</v>
      </c>
      <c r="F35" s="44">
        <v>44412</v>
      </c>
      <c r="G35" s="47" t="s">
        <v>246</v>
      </c>
      <c r="H35" s="48">
        <v>34</v>
      </c>
    </row>
    <row r="36" spans="1:8" x14ac:dyDescent="0.3">
      <c r="A36" s="45">
        <v>2021000201</v>
      </c>
      <c r="B36" s="46" t="s">
        <v>217</v>
      </c>
      <c r="C36" s="46">
        <v>1</v>
      </c>
      <c r="D36" s="47">
        <v>30</v>
      </c>
      <c r="E36" s="47">
        <v>30</v>
      </c>
      <c r="F36" s="44">
        <v>44412</v>
      </c>
      <c r="G36" s="47" t="s">
        <v>246</v>
      </c>
      <c r="H36" s="48">
        <v>35</v>
      </c>
    </row>
    <row r="37" spans="1:8" x14ac:dyDescent="0.3">
      <c r="A37" s="45">
        <v>2021000200</v>
      </c>
      <c r="B37" s="46" t="s">
        <v>216</v>
      </c>
      <c r="C37" s="46">
        <v>1</v>
      </c>
      <c r="D37" s="47">
        <v>30</v>
      </c>
      <c r="E37" s="47">
        <v>30</v>
      </c>
      <c r="F37" s="44">
        <v>44412</v>
      </c>
      <c r="G37" s="47" t="s">
        <v>246</v>
      </c>
      <c r="H37" s="48">
        <v>36</v>
      </c>
    </row>
    <row r="38" spans="1:8" x14ac:dyDescent="0.3">
      <c r="A38" s="45">
        <v>2021000051</v>
      </c>
      <c r="B38" s="46" t="s">
        <v>69</v>
      </c>
      <c r="C38" s="46">
        <v>1</v>
      </c>
      <c r="D38" s="47">
        <v>70</v>
      </c>
      <c r="E38" s="47">
        <v>70</v>
      </c>
      <c r="F38" s="44">
        <v>44412</v>
      </c>
      <c r="G38" s="47" t="s">
        <v>246</v>
      </c>
      <c r="H38" s="48">
        <v>37</v>
      </c>
    </row>
    <row r="39" spans="1:8" x14ac:dyDescent="0.3">
      <c r="A39" s="45">
        <v>2021000097</v>
      </c>
      <c r="B39" s="46" t="s">
        <v>115</v>
      </c>
      <c r="C39" s="46">
        <v>1</v>
      </c>
      <c r="D39" s="47">
        <v>45</v>
      </c>
      <c r="E39" s="47">
        <v>45</v>
      </c>
      <c r="F39" s="44">
        <v>44412</v>
      </c>
      <c r="G39" s="47" t="s">
        <v>246</v>
      </c>
      <c r="H39" s="48">
        <v>38</v>
      </c>
    </row>
    <row r="40" spans="1:8" x14ac:dyDescent="0.3">
      <c r="A40" s="45">
        <v>2021000101</v>
      </c>
      <c r="B40" s="46" t="s">
        <v>119</v>
      </c>
      <c r="C40" s="46">
        <v>1</v>
      </c>
      <c r="D40" s="47">
        <v>30</v>
      </c>
      <c r="E40" s="47">
        <v>30</v>
      </c>
      <c r="F40" s="44">
        <v>44412</v>
      </c>
      <c r="G40" s="47" t="s">
        <v>246</v>
      </c>
      <c r="H40" s="48">
        <v>39</v>
      </c>
    </row>
    <row r="41" spans="1:8" x14ac:dyDescent="0.3">
      <c r="A41" s="45">
        <v>2021000147</v>
      </c>
      <c r="B41" s="46" t="s">
        <v>164</v>
      </c>
      <c r="C41" s="46">
        <v>1</v>
      </c>
      <c r="D41" s="47">
        <v>500</v>
      </c>
      <c r="E41" s="47">
        <v>500</v>
      </c>
      <c r="F41" s="44">
        <v>44413</v>
      </c>
      <c r="G41" s="47" t="s">
        <v>246</v>
      </c>
      <c r="H41" s="48">
        <v>40</v>
      </c>
    </row>
    <row r="42" spans="1:8" x14ac:dyDescent="0.3">
      <c r="A42" s="45">
        <v>2021000169</v>
      </c>
      <c r="B42" s="46" t="s">
        <v>185</v>
      </c>
      <c r="C42" s="46">
        <v>1</v>
      </c>
      <c r="D42" s="47">
        <v>220</v>
      </c>
      <c r="E42" s="47">
        <v>220</v>
      </c>
      <c r="F42" s="44">
        <v>44413</v>
      </c>
      <c r="G42" s="47" t="s">
        <v>246</v>
      </c>
      <c r="H42" s="48">
        <v>41</v>
      </c>
    </row>
    <row r="43" spans="1:8" x14ac:dyDescent="0.3">
      <c r="A43" s="45">
        <v>2021000041</v>
      </c>
      <c r="B43" s="46" t="s">
        <v>59</v>
      </c>
      <c r="C43" s="46">
        <v>1</v>
      </c>
      <c r="D43" s="47">
        <v>280</v>
      </c>
      <c r="E43" s="47">
        <v>280</v>
      </c>
      <c r="F43" s="44">
        <v>44413</v>
      </c>
      <c r="G43" s="47" t="s">
        <v>246</v>
      </c>
      <c r="H43" s="48">
        <v>42</v>
      </c>
    </row>
    <row r="44" spans="1:8" x14ac:dyDescent="0.3">
      <c r="A44" s="45">
        <v>2021000176</v>
      </c>
      <c r="B44" s="46" t="s">
        <v>191</v>
      </c>
      <c r="C44" s="46">
        <v>2</v>
      </c>
      <c r="D44" s="47">
        <v>20</v>
      </c>
      <c r="E44" s="47">
        <v>40</v>
      </c>
      <c r="F44" s="44">
        <v>44413</v>
      </c>
      <c r="G44" s="47" t="s">
        <v>246</v>
      </c>
      <c r="H44" s="48">
        <v>43</v>
      </c>
    </row>
    <row r="45" spans="1:8" x14ac:dyDescent="0.3">
      <c r="A45" s="45">
        <v>2021000170</v>
      </c>
      <c r="B45" s="46" t="s">
        <v>186</v>
      </c>
      <c r="C45" s="46">
        <v>1</v>
      </c>
      <c r="D45" s="47">
        <v>260</v>
      </c>
      <c r="E45" s="47">
        <v>260</v>
      </c>
      <c r="F45" s="44">
        <v>44414</v>
      </c>
      <c r="G45" s="47" t="s">
        <v>246</v>
      </c>
      <c r="H45" s="48">
        <v>44</v>
      </c>
    </row>
    <row r="46" spans="1:8" x14ac:dyDescent="0.3">
      <c r="A46" s="45">
        <v>2021000063</v>
      </c>
      <c r="B46" s="46" t="s">
        <v>81</v>
      </c>
      <c r="C46" s="46">
        <v>1</v>
      </c>
      <c r="D46" s="47">
        <v>60</v>
      </c>
      <c r="E46" s="47">
        <v>60</v>
      </c>
      <c r="F46" s="44">
        <v>44413</v>
      </c>
      <c r="G46" s="47" t="s">
        <v>246</v>
      </c>
      <c r="H46" s="48">
        <v>45</v>
      </c>
    </row>
    <row r="47" spans="1:8" x14ac:dyDescent="0.3">
      <c r="A47" s="45">
        <v>2021000094</v>
      </c>
      <c r="B47" s="46" t="s">
        <v>112</v>
      </c>
      <c r="C47" s="46">
        <v>1</v>
      </c>
      <c r="D47" s="47">
        <v>70</v>
      </c>
      <c r="E47" s="47">
        <v>70</v>
      </c>
      <c r="F47" s="44">
        <v>44413</v>
      </c>
      <c r="G47" s="47" t="s">
        <v>246</v>
      </c>
      <c r="H47" s="48">
        <v>46</v>
      </c>
    </row>
    <row r="48" spans="1:8" x14ac:dyDescent="0.3">
      <c r="A48" s="45">
        <v>2021000055</v>
      </c>
      <c r="B48" s="46" t="s">
        <v>73</v>
      </c>
      <c r="C48" s="46">
        <v>1</v>
      </c>
      <c r="D48" s="47">
        <v>70</v>
      </c>
      <c r="E48" s="47">
        <v>70</v>
      </c>
      <c r="F48" s="44">
        <v>44413</v>
      </c>
      <c r="G48" s="47" t="s">
        <v>246</v>
      </c>
      <c r="H48" s="48">
        <v>47</v>
      </c>
    </row>
    <row r="49" spans="1:8" x14ac:dyDescent="0.3">
      <c r="A49" s="45">
        <v>2021000051</v>
      </c>
      <c r="B49" s="46" t="s">
        <v>69</v>
      </c>
      <c r="C49" s="46">
        <v>1</v>
      </c>
      <c r="D49" s="47">
        <v>65</v>
      </c>
      <c r="E49" s="47">
        <v>65</v>
      </c>
      <c r="F49" s="44">
        <v>44413</v>
      </c>
      <c r="G49" s="47" t="s">
        <v>246</v>
      </c>
      <c r="H49" s="48">
        <v>48</v>
      </c>
    </row>
    <row r="50" spans="1:8" x14ac:dyDescent="0.3">
      <c r="A50" s="45">
        <v>2021000159</v>
      </c>
      <c r="B50" s="46" t="s">
        <v>302</v>
      </c>
      <c r="C50" s="46">
        <v>1</v>
      </c>
      <c r="D50" s="47">
        <v>90</v>
      </c>
      <c r="E50" s="47">
        <v>90</v>
      </c>
      <c r="F50" s="44">
        <v>44413</v>
      </c>
      <c r="G50" s="47" t="s">
        <v>246</v>
      </c>
      <c r="H50" s="48">
        <v>49</v>
      </c>
    </row>
    <row r="51" spans="1:8" x14ac:dyDescent="0.3">
      <c r="A51" s="45">
        <v>2021000251</v>
      </c>
      <c r="B51" s="46" t="s">
        <v>287</v>
      </c>
      <c r="C51" s="46">
        <v>1</v>
      </c>
      <c r="D51" s="47">
        <v>120</v>
      </c>
      <c r="E51" s="47">
        <v>120</v>
      </c>
      <c r="F51" s="44">
        <v>44414</v>
      </c>
      <c r="G51" s="47" t="s">
        <v>246</v>
      </c>
      <c r="H51" s="48">
        <v>50</v>
      </c>
    </row>
    <row r="52" spans="1:8" x14ac:dyDescent="0.3">
      <c r="A52" s="45">
        <v>2021000076</v>
      </c>
      <c r="B52" s="46" t="s">
        <v>301</v>
      </c>
      <c r="C52" s="46">
        <v>1</v>
      </c>
      <c r="D52" s="47">
        <v>160</v>
      </c>
      <c r="E52" s="47">
        <v>160</v>
      </c>
      <c r="F52" s="44">
        <v>44414</v>
      </c>
      <c r="G52" s="47" t="s">
        <v>246</v>
      </c>
      <c r="H52" s="48">
        <v>51</v>
      </c>
    </row>
    <row r="53" spans="1:8" x14ac:dyDescent="0.3">
      <c r="A53" s="45">
        <v>2021000206</v>
      </c>
      <c r="B53" s="46" t="s">
        <v>222</v>
      </c>
      <c r="C53" s="46">
        <v>1</v>
      </c>
      <c r="D53" s="47">
        <v>70</v>
      </c>
      <c r="E53" s="47">
        <v>70</v>
      </c>
      <c r="F53" s="44">
        <v>44415</v>
      </c>
      <c r="G53" s="47" t="s">
        <v>242</v>
      </c>
      <c r="H53" s="48">
        <v>52</v>
      </c>
    </row>
    <row r="54" spans="1:8" x14ac:dyDescent="0.3">
      <c r="A54" s="45">
        <v>2021000087</v>
      </c>
      <c r="B54" s="46" t="s">
        <v>105</v>
      </c>
      <c r="C54" s="46">
        <v>1</v>
      </c>
      <c r="D54" s="47">
        <v>70</v>
      </c>
      <c r="E54" s="47">
        <v>70</v>
      </c>
      <c r="F54" s="44">
        <v>44415</v>
      </c>
      <c r="G54" s="47" t="s">
        <v>242</v>
      </c>
      <c r="H54" s="48">
        <v>53</v>
      </c>
    </row>
    <row r="55" spans="1:8" x14ac:dyDescent="0.3">
      <c r="A55" s="45">
        <v>2021000094</v>
      </c>
      <c r="B55" s="46" t="s">
        <v>112</v>
      </c>
      <c r="C55" s="46">
        <v>1</v>
      </c>
      <c r="D55" s="47">
        <v>70</v>
      </c>
      <c r="E55" s="47">
        <v>70</v>
      </c>
      <c r="F55" s="44">
        <v>44415</v>
      </c>
      <c r="G55" s="47" t="s">
        <v>242</v>
      </c>
      <c r="H55" s="48">
        <v>54</v>
      </c>
    </row>
    <row r="56" spans="1:8" x14ac:dyDescent="0.3">
      <c r="A56" s="45">
        <v>2021000306</v>
      </c>
      <c r="B56" s="46" t="s">
        <v>365</v>
      </c>
      <c r="C56" s="46">
        <v>1</v>
      </c>
      <c r="D56" s="47">
        <v>200</v>
      </c>
      <c r="E56" s="47">
        <v>200</v>
      </c>
      <c r="F56" s="44">
        <v>44415</v>
      </c>
      <c r="G56" s="47" t="s">
        <v>242</v>
      </c>
      <c r="H56" s="48">
        <v>55</v>
      </c>
    </row>
    <row r="57" spans="1:8" x14ac:dyDescent="0.3">
      <c r="A57" s="45">
        <v>2021000088</v>
      </c>
      <c r="B57" s="46" t="s">
        <v>106</v>
      </c>
      <c r="C57" s="46">
        <v>1</v>
      </c>
      <c r="D57" s="47">
        <v>100</v>
      </c>
      <c r="E57" s="47">
        <v>100</v>
      </c>
      <c r="F57" s="44">
        <v>44415</v>
      </c>
      <c r="G57" s="47" t="s">
        <v>242</v>
      </c>
      <c r="H57" s="48">
        <v>56</v>
      </c>
    </row>
    <row r="58" spans="1:8" x14ac:dyDescent="0.3">
      <c r="A58" s="45">
        <v>2021000176</v>
      </c>
      <c r="B58" s="46" t="s">
        <v>191</v>
      </c>
      <c r="C58" s="46">
        <v>2</v>
      </c>
      <c r="D58" s="47">
        <v>20</v>
      </c>
      <c r="E58" s="47">
        <v>40</v>
      </c>
      <c r="F58" s="44">
        <v>44415</v>
      </c>
      <c r="G58" s="47" t="s">
        <v>242</v>
      </c>
      <c r="H58" s="48">
        <v>57</v>
      </c>
    </row>
    <row r="59" spans="1:8" x14ac:dyDescent="0.3">
      <c r="A59" s="45">
        <v>2021000258</v>
      </c>
      <c r="B59" s="46" t="s">
        <v>304</v>
      </c>
      <c r="C59" s="46">
        <v>1</v>
      </c>
      <c r="D59" s="47">
        <v>40</v>
      </c>
      <c r="E59" s="47">
        <v>40</v>
      </c>
      <c r="F59" s="44">
        <v>44415</v>
      </c>
      <c r="G59" s="47" t="s">
        <v>242</v>
      </c>
      <c r="H59" s="48">
        <v>58</v>
      </c>
    </row>
    <row r="60" spans="1:8" x14ac:dyDescent="0.3">
      <c r="A60" s="45">
        <v>2021000076</v>
      </c>
      <c r="B60" s="46" t="s">
        <v>301</v>
      </c>
      <c r="C60" s="46">
        <v>1</v>
      </c>
      <c r="D60" s="47">
        <v>160</v>
      </c>
      <c r="E60" s="47">
        <v>160</v>
      </c>
      <c r="F60" s="44">
        <v>44417</v>
      </c>
      <c r="G60" s="47" t="s">
        <v>242</v>
      </c>
      <c r="H60" s="48">
        <v>59</v>
      </c>
    </row>
    <row r="61" spans="1:8" x14ac:dyDescent="0.3">
      <c r="A61" s="45"/>
      <c r="B61" s="46"/>
      <c r="C61" s="46"/>
      <c r="D61" s="47"/>
      <c r="E61" s="47"/>
      <c r="F61" s="44"/>
      <c r="G61" s="47"/>
      <c r="H61" s="48"/>
    </row>
    <row r="62" spans="1:8" x14ac:dyDescent="0.3">
      <c r="A62" s="45"/>
      <c r="B62" s="46"/>
      <c r="C62" s="46"/>
      <c r="D62" s="47"/>
      <c r="E62" s="47"/>
      <c r="F62" s="44"/>
      <c r="G62" s="47"/>
      <c r="H62" s="48"/>
    </row>
    <row r="63" spans="1:8" x14ac:dyDescent="0.3">
      <c r="A63" s="45"/>
      <c r="B63" s="46"/>
      <c r="C63" s="46"/>
      <c r="D63" s="47"/>
      <c r="E63" s="47"/>
      <c r="F63" s="44"/>
      <c r="G63" s="47"/>
      <c r="H63" s="48"/>
    </row>
    <row r="64" spans="1:8" x14ac:dyDescent="0.3">
      <c r="A64" s="45"/>
      <c r="B64" s="46"/>
      <c r="C64" s="46"/>
      <c r="D64" s="47"/>
      <c r="E64" s="47"/>
      <c r="F64" s="44"/>
      <c r="G64" s="47"/>
      <c r="H64" s="48"/>
    </row>
    <row r="65" spans="1:8" x14ac:dyDescent="0.3">
      <c r="A65" s="45"/>
      <c r="B65" s="46"/>
      <c r="C65" s="46"/>
      <c r="D65" s="47"/>
      <c r="E65" s="47"/>
      <c r="F65" s="44"/>
      <c r="G65" s="47"/>
      <c r="H65" s="48"/>
    </row>
    <row r="66" spans="1:8" x14ac:dyDescent="0.3">
      <c r="A66" s="45"/>
      <c r="B66" s="46"/>
      <c r="C66" s="46"/>
      <c r="D66" s="47"/>
      <c r="E66" s="47"/>
      <c r="F66" s="44"/>
      <c r="G66" s="47"/>
      <c r="H66" s="48"/>
    </row>
    <row r="67" spans="1:8" x14ac:dyDescent="0.3">
      <c r="A67" s="45"/>
      <c r="B67" s="46"/>
      <c r="C67" s="46"/>
      <c r="D67" s="47"/>
      <c r="E67" s="47"/>
      <c r="F67" s="44"/>
      <c r="G67" s="47"/>
      <c r="H67" s="48"/>
    </row>
    <row r="68" spans="1:8" x14ac:dyDescent="0.3">
      <c r="A68" s="45"/>
      <c r="B68" s="46"/>
      <c r="C68" s="46"/>
      <c r="D68" s="47"/>
      <c r="E68" s="47"/>
      <c r="F68" s="44"/>
      <c r="G68" s="47"/>
      <c r="H68" s="48"/>
    </row>
    <row r="69" spans="1:8" x14ac:dyDescent="0.3">
      <c r="A69" s="45"/>
      <c r="B69" s="46"/>
      <c r="C69" s="46"/>
      <c r="D69" s="47"/>
      <c r="E69" s="47"/>
      <c r="F69" s="44"/>
      <c r="G69" s="47"/>
      <c r="H69" s="48"/>
    </row>
    <row r="70" spans="1:8" x14ac:dyDescent="0.3">
      <c r="A70" s="45"/>
      <c r="B70" s="46"/>
      <c r="C70" s="46"/>
      <c r="D70" s="47"/>
      <c r="E70" s="47"/>
      <c r="F70" s="44"/>
      <c r="G70" s="47"/>
      <c r="H70" s="48"/>
    </row>
    <row r="71" spans="1:8" x14ac:dyDescent="0.3">
      <c r="A71" s="45"/>
      <c r="B71" s="46"/>
      <c r="C71" s="46"/>
      <c r="D71" s="47"/>
      <c r="E71" s="47"/>
      <c r="F71" s="44"/>
      <c r="G71" s="47"/>
      <c r="H71" s="48"/>
    </row>
    <row r="72" spans="1:8" x14ac:dyDescent="0.3">
      <c r="A72" s="45"/>
      <c r="B72" s="46"/>
      <c r="C72" s="46"/>
      <c r="D72" s="47"/>
      <c r="E72" s="47"/>
      <c r="F72" s="44"/>
      <c r="G72" s="47"/>
      <c r="H72" s="48"/>
    </row>
    <row r="73" spans="1:8" x14ac:dyDescent="0.3">
      <c r="A73" s="45"/>
      <c r="B73" s="46"/>
      <c r="C73" s="46"/>
      <c r="D73" s="47"/>
      <c r="E73" s="47"/>
      <c r="F73" s="44"/>
      <c r="G73" s="47"/>
      <c r="H73" s="48"/>
    </row>
    <row r="74" spans="1:8" x14ac:dyDescent="0.3">
      <c r="A74" s="45"/>
      <c r="B74" s="46"/>
      <c r="C74" s="46"/>
      <c r="D74" s="47"/>
      <c r="E74" s="47"/>
      <c r="F74" s="44"/>
      <c r="G74" s="47"/>
      <c r="H74" s="48"/>
    </row>
    <row r="75" spans="1:8" x14ac:dyDescent="0.3">
      <c r="A75" s="45"/>
      <c r="B75" s="46"/>
      <c r="C75" s="46"/>
      <c r="D75" s="47"/>
      <c r="E75" s="47"/>
      <c r="F75" s="44"/>
      <c r="G75" s="47"/>
      <c r="H75" s="48"/>
    </row>
    <row r="76" spans="1:8" x14ac:dyDescent="0.3">
      <c r="A76" s="45"/>
      <c r="B76" s="46"/>
      <c r="C76" s="46"/>
      <c r="D76" s="47"/>
      <c r="E76" s="47"/>
      <c r="F76" s="44"/>
      <c r="G76" s="47"/>
      <c r="H76" s="48"/>
    </row>
    <row r="77" spans="1:8" x14ac:dyDescent="0.3">
      <c r="A77" s="45"/>
      <c r="B77" s="46"/>
      <c r="C77" s="46"/>
      <c r="D77" s="47"/>
      <c r="E77" s="47"/>
      <c r="F77" s="44"/>
      <c r="G77" s="47"/>
      <c r="H77" s="48"/>
    </row>
    <row r="78" spans="1:8" x14ac:dyDescent="0.3">
      <c r="A78" s="45"/>
      <c r="B78" s="46"/>
      <c r="C78" s="46"/>
      <c r="D78" s="47"/>
      <c r="E78" s="47"/>
      <c r="F78" s="44"/>
      <c r="G78" s="47"/>
      <c r="H78" s="48"/>
    </row>
    <row r="79" spans="1:8" x14ac:dyDescent="0.3">
      <c r="A79" s="45"/>
      <c r="B79" s="46"/>
      <c r="C79" s="46"/>
      <c r="D79" s="47"/>
      <c r="E79" s="47"/>
      <c r="F79" s="44"/>
      <c r="G79" s="47"/>
      <c r="H79" s="48"/>
    </row>
    <row r="80" spans="1:8" x14ac:dyDescent="0.3">
      <c r="A80" s="45"/>
      <c r="B80" s="46"/>
      <c r="C80" s="46"/>
      <c r="D80" s="47"/>
      <c r="E80" s="47"/>
      <c r="F80" s="44"/>
      <c r="G80" s="47"/>
      <c r="H80" s="48"/>
    </row>
    <row r="81" spans="1:8" x14ac:dyDescent="0.3">
      <c r="A81" s="45"/>
      <c r="B81" s="46"/>
      <c r="C81" s="46"/>
      <c r="D81" s="47"/>
      <c r="E81" s="47"/>
      <c r="F81" s="44"/>
      <c r="G81" s="47"/>
      <c r="H81" s="48"/>
    </row>
    <row r="82" spans="1:8" x14ac:dyDescent="0.3">
      <c r="A82" s="45"/>
      <c r="B82" s="46"/>
      <c r="C82" s="46"/>
      <c r="D82" s="47"/>
      <c r="E82" s="47"/>
      <c r="F82" s="44"/>
      <c r="G82" s="47"/>
      <c r="H82" s="48"/>
    </row>
    <row r="83" spans="1:8" x14ac:dyDescent="0.3">
      <c r="A83" s="45"/>
      <c r="B83" s="46"/>
      <c r="C83" s="46"/>
      <c r="D83" s="47"/>
      <c r="E83" s="47"/>
      <c r="F83" s="44"/>
      <c r="G83" s="47"/>
      <c r="H83" s="48"/>
    </row>
    <row r="84" spans="1:8" x14ac:dyDescent="0.3">
      <c r="A84" s="45"/>
      <c r="B84" s="46"/>
      <c r="C84" s="46"/>
      <c r="D84" s="47"/>
      <c r="E84" s="47"/>
      <c r="F84" s="44"/>
      <c r="G84" s="47"/>
      <c r="H84" s="48"/>
    </row>
    <row r="85" spans="1:8" x14ac:dyDescent="0.3">
      <c r="A85" s="45"/>
      <c r="B85" s="46"/>
      <c r="C85" s="46"/>
      <c r="D85" s="47"/>
      <c r="E85" s="47"/>
      <c r="F85" s="44"/>
      <c r="G85" s="47"/>
      <c r="H85" s="48"/>
    </row>
    <row r="86" spans="1:8" x14ac:dyDescent="0.3">
      <c r="A86" s="45"/>
      <c r="B86" s="46"/>
      <c r="C86" s="46"/>
      <c r="D86" s="47"/>
      <c r="E86" s="47"/>
      <c r="F86" s="44"/>
      <c r="G86" s="47"/>
      <c r="H86" s="48"/>
    </row>
    <row r="87" spans="1:8" x14ac:dyDescent="0.3">
      <c r="A87" s="45"/>
      <c r="B87" s="46"/>
      <c r="C87" s="46"/>
      <c r="D87" s="47"/>
      <c r="E87" s="47"/>
      <c r="F87" s="44"/>
      <c r="G87" s="47"/>
      <c r="H87" s="48"/>
    </row>
    <row r="88" spans="1:8" x14ac:dyDescent="0.3">
      <c r="A88" s="45"/>
      <c r="B88" s="46"/>
      <c r="C88" s="46"/>
      <c r="D88" s="47"/>
      <c r="E88" s="47"/>
      <c r="F88" s="44"/>
      <c r="G88" s="47"/>
      <c r="H88" s="48"/>
    </row>
    <row r="89" spans="1:8" x14ac:dyDescent="0.3">
      <c r="A89" s="45"/>
      <c r="B89" s="46"/>
      <c r="C89" s="46"/>
      <c r="D89" s="47"/>
      <c r="E89" s="47"/>
      <c r="F89" s="44"/>
      <c r="G89" s="47"/>
      <c r="H89" s="48"/>
    </row>
    <row r="90" spans="1:8" x14ac:dyDescent="0.3">
      <c r="A90" s="45"/>
      <c r="B90" s="46"/>
      <c r="C90" s="46"/>
      <c r="D90" s="47"/>
      <c r="E90" s="47"/>
      <c r="F90" s="44"/>
      <c r="G90" s="47"/>
      <c r="H90" s="48"/>
    </row>
    <row r="91" spans="1:8" x14ac:dyDescent="0.3">
      <c r="A91" s="45"/>
      <c r="B91" s="46"/>
      <c r="C91" s="46"/>
      <c r="D91" s="47"/>
      <c r="E91" s="47"/>
      <c r="F91" s="44"/>
      <c r="G91" s="47"/>
      <c r="H91" s="48"/>
    </row>
    <row r="92" spans="1:8" x14ac:dyDescent="0.3">
      <c r="A92" s="45"/>
      <c r="B92" s="46"/>
      <c r="C92" s="46"/>
      <c r="D92" s="47"/>
      <c r="E92" s="47"/>
      <c r="F92" s="44"/>
      <c r="G92" s="47"/>
      <c r="H92" s="48"/>
    </row>
    <row r="93" spans="1:8" x14ac:dyDescent="0.3">
      <c r="A93" s="45"/>
      <c r="B93" s="46"/>
      <c r="C93" s="46"/>
      <c r="D93" s="47"/>
      <c r="E93" s="47"/>
      <c r="F93" s="44"/>
      <c r="G93" s="47"/>
      <c r="H93" s="48"/>
    </row>
    <row r="94" spans="1:8" x14ac:dyDescent="0.3">
      <c r="A94" s="45"/>
      <c r="B94" s="46"/>
      <c r="C94" s="46"/>
      <c r="D94" s="47"/>
      <c r="E94" s="47"/>
      <c r="F94" s="44"/>
      <c r="G94" s="47"/>
      <c r="H94" s="48"/>
    </row>
    <row r="95" spans="1:8" x14ac:dyDescent="0.3">
      <c r="A95" s="45"/>
      <c r="B95" s="46"/>
      <c r="C95" s="46"/>
      <c r="D95" s="47"/>
      <c r="E95" s="47"/>
      <c r="F95" s="44"/>
      <c r="G95" s="47"/>
      <c r="H95" s="48"/>
    </row>
    <row r="96" spans="1:8" x14ac:dyDescent="0.3">
      <c r="A96" s="45"/>
      <c r="B96" s="46"/>
      <c r="C96" s="46"/>
      <c r="D96" s="47"/>
      <c r="E96" s="47"/>
      <c r="F96" s="44"/>
      <c r="G96" s="47"/>
      <c r="H96" s="48"/>
    </row>
    <row r="97" spans="1:8" x14ac:dyDescent="0.3">
      <c r="A97" s="45"/>
      <c r="B97" s="46"/>
      <c r="C97" s="46"/>
      <c r="D97" s="47"/>
      <c r="E97" s="47"/>
      <c r="F97" s="44"/>
      <c r="G97" s="47"/>
      <c r="H97" s="48"/>
    </row>
    <row r="98" spans="1:8" x14ac:dyDescent="0.3">
      <c r="A98" s="45"/>
      <c r="B98" s="46"/>
      <c r="C98" s="46"/>
      <c r="D98" s="47"/>
      <c r="E98" s="47"/>
      <c r="F98" s="44"/>
      <c r="G98" s="47"/>
      <c r="H98" s="48"/>
    </row>
    <row r="99" spans="1:8" x14ac:dyDescent="0.3">
      <c r="A99" s="45"/>
      <c r="B99" s="46"/>
      <c r="C99" s="46"/>
      <c r="D99" s="47"/>
      <c r="E99" s="47"/>
      <c r="F99" s="44"/>
      <c r="G99" s="47"/>
      <c r="H99" s="48"/>
    </row>
    <row r="100" spans="1:8" x14ac:dyDescent="0.3">
      <c r="A100" s="45"/>
      <c r="B100" s="46"/>
      <c r="C100" s="46"/>
      <c r="D100" s="47"/>
      <c r="E100" s="47"/>
      <c r="F100" s="44"/>
      <c r="G100" s="47"/>
      <c r="H100" s="48"/>
    </row>
    <row r="101" spans="1:8" x14ac:dyDescent="0.3">
      <c r="A101" s="45"/>
      <c r="B101" s="46"/>
      <c r="C101" s="46"/>
      <c r="D101" s="47"/>
      <c r="E101" s="47"/>
      <c r="F101" s="44"/>
      <c r="G101" s="47"/>
      <c r="H101" s="48"/>
    </row>
    <row r="102" spans="1:8" x14ac:dyDescent="0.3">
      <c r="A102" s="45"/>
      <c r="B102" s="46"/>
      <c r="C102" s="46"/>
      <c r="D102" s="47"/>
      <c r="E102" s="47"/>
      <c r="F102" s="44"/>
      <c r="G102" s="47"/>
      <c r="H102" s="48"/>
    </row>
    <row r="103" spans="1:8" x14ac:dyDescent="0.3">
      <c r="A103" s="45"/>
      <c r="B103" s="46"/>
      <c r="C103" s="46"/>
      <c r="D103" s="47"/>
      <c r="E103" s="47"/>
      <c r="F103" s="44"/>
      <c r="G103" s="47"/>
      <c r="H103" s="48"/>
    </row>
    <row r="104" spans="1:8" x14ac:dyDescent="0.3">
      <c r="A104" s="45"/>
      <c r="B104" s="46"/>
      <c r="C104" s="46"/>
      <c r="D104" s="47"/>
      <c r="E104" s="47"/>
      <c r="F104" s="44"/>
      <c r="G104" s="47"/>
      <c r="H104" s="48"/>
    </row>
    <row r="105" spans="1:8" x14ac:dyDescent="0.3">
      <c r="A105" s="45"/>
      <c r="B105" s="46"/>
      <c r="C105" s="46"/>
      <c r="D105" s="47"/>
      <c r="E105" s="47"/>
      <c r="F105" s="44"/>
      <c r="G105" s="47"/>
      <c r="H105" s="48"/>
    </row>
    <row r="106" spans="1:8" x14ac:dyDescent="0.3">
      <c r="A106" s="45"/>
      <c r="B106" s="46"/>
      <c r="C106" s="46"/>
      <c r="D106" s="47"/>
      <c r="E106" s="47"/>
      <c r="F106" s="44"/>
      <c r="G106" s="47"/>
      <c r="H106" s="48"/>
    </row>
    <row r="107" spans="1:8" x14ac:dyDescent="0.3">
      <c r="A107" s="45"/>
      <c r="B107" s="46"/>
      <c r="C107" s="46"/>
      <c r="D107" s="47"/>
      <c r="E107" s="47"/>
      <c r="F107" s="44"/>
      <c r="G107" s="47"/>
      <c r="H107" s="48"/>
    </row>
    <row r="108" spans="1:8" x14ac:dyDescent="0.3">
      <c r="A108" s="45"/>
      <c r="B108" s="46"/>
      <c r="C108" s="46"/>
      <c r="D108" s="47"/>
      <c r="E108" s="47"/>
      <c r="F108" s="44"/>
      <c r="G108" s="47"/>
      <c r="H108" s="48"/>
    </row>
    <row r="109" spans="1:8" x14ac:dyDescent="0.3">
      <c r="A109" s="45"/>
      <c r="B109" s="46"/>
      <c r="C109" s="46"/>
      <c r="D109" s="47"/>
      <c r="E109" s="47"/>
      <c r="F109" s="44"/>
      <c r="G109" s="47"/>
      <c r="H109" s="48"/>
    </row>
    <row r="110" spans="1:8" x14ac:dyDescent="0.3">
      <c r="A110" s="45"/>
      <c r="B110" s="46"/>
      <c r="C110" s="46"/>
      <c r="D110" s="47"/>
      <c r="E110" s="47"/>
      <c r="F110" s="44"/>
      <c r="G110" s="47"/>
      <c r="H110" s="48"/>
    </row>
    <row r="111" spans="1:8" x14ac:dyDescent="0.3">
      <c r="A111" s="45"/>
      <c r="B111" s="46"/>
      <c r="C111" s="46"/>
      <c r="D111" s="47"/>
      <c r="E111" s="47"/>
      <c r="F111" s="44"/>
      <c r="G111" s="47"/>
      <c r="H111" s="48"/>
    </row>
    <row r="112" spans="1:8" x14ac:dyDescent="0.3">
      <c r="A112" s="45"/>
      <c r="B112" s="46"/>
      <c r="C112" s="46"/>
      <c r="D112" s="47"/>
      <c r="E112" s="47"/>
      <c r="F112" s="44"/>
      <c r="G112" s="47"/>
      <c r="H112" s="48"/>
    </row>
    <row r="113" spans="1:8" x14ac:dyDescent="0.3">
      <c r="A113" s="45"/>
      <c r="B113" s="46"/>
      <c r="C113" s="46"/>
      <c r="D113" s="47"/>
      <c r="E113" s="47"/>
      <c r="F113" s="44"/>
      <c r="G113" s="47"/>
      <c r="H113" s="48"/>
    </row>
    <row r="114" spans="1:8" x14ac:dyDescent="0.3">
      <c r="A114" s="45"/>
      <c r="B114" s="46"/>
      <c r="C114" s="46"/>
      <c r="D114" s="47"/>
      <c r="E114" s="47"/>
      <c r="F114" s="44"/>
      <c r="G114" s="47"/>
      <c r="H114" s="48"/>
    </row>
    <row r="115" spans="1:8" x14ac:dyDescent="0.3">
      <c r="A115" s="45"/>
      <c r="B115" s="46"/>
      <c r="C115" s="46"/>
      <c r="D115" s="47"/>
      <c r="E115" s="47"/>
      <c r="F115" s="44"/>
      <c r="G115" s="47"/>
      <c r="H115" s="48"/>
    </row>
    <row r="116" spans="1:8" x14ac:dyDescent="0.3">
      <c r="A116" s="45"/>
      <c r="B116" s="46"/>
      <c r="C116" s="46"/>
      <c r="D116" s="47"/>
      <c r="E116" s="47"/>
      <c r="F116" s="44"/>
      <c r="G116" s="47"/>
      <c r="H116" s="48"/>
    </row>
    <row r="117" spans="1:8" x14ac:dyDescent="0.3">
      <c r="A117" s="45"/>
      <c r="B117" s="46"/>
      <c r="C117" s="46"/>
      <c r="D117" s="47"/>
      <c r="E117" s="47"/>
      <c r="F117" s="44"/>
      <c r="G117" s="47"/>
      <c r="H117" s="48"/>
    </row>
    <row r="118" spans="1:8" x14ac:dyDescent="0.3">
      <c r="A118" s="45"/>
      <c r="B118" s="46"/>
      <c r="C118" s="46"/>
      <c r="D118" s="47"/>
      <c r="E118" s="47"/>
      <c r="F118" s="44"/>
      <c r="G118" s="47"/>
      <c r="H118" s="48"/>
    </row>
    <row r="119" spans="1:8" x14ac:dyDescent="0.3">
      <c r="A119" s="45"/>
      <c r="B119" s="46"/>
      <c r="C119" s="46"/>
      <c r="D119" s="47"/>
      <c r="E119" s="47"/>
      <c r="F119" s="44"/>
      <c r="G119" s="47"/>
      <c r="H119" s="48"/>
    </row>
    <row r="120" spans="1:8" x14ac:dyDescent="0.3">
      <c r="A120" s="45"/>
      <c r="B120" s="46"/>
      <c r="C120" s="46"/>
      <c r="D120" s="47"/>
      <c r="E120" s="47"/>
      <c r="F120" s="44"/>
      <c r="G120" s="47"/>
      <c r="H120" s="48"/>
    </row>
    <row r="121" spans="1:8" x14ac:dyDescent="0.3">
      <c r="A121" s="45"/>
      <c r="B121" s="46"/>
      <c r="C121" s="46"/>
      <c r="D121" s="47"/>
      <c r="E121" s="47"/>
      <c r="F121" s="44"/>
      <c r="G121" s="47"/>
      <c r="H121" s="48"/>
    </row>
    <row r="122" spans="1:8" x14ac:dyDescent="0.3">
      <c r="A122" s="45"/>
      <c r="B122" s="46"/>
      <c r="C122" s="46"/>
      <c r="D122" s="47"/>
      <c r="E122" s="47"/>
      <c r="F122" s="44"/>
      <c r="G122" s="47"/>
      <c r="H122" s="48"/>
    </row>
    <row r="123" spans="1:8" x14ac:dyDescent="0.3">
      <c r="A123" s="45"/>
      <c r="B123" s="46"/>
      <c r="C123" s="46"/>
      <c r="D123" s="47"/>
      <c r="E123" s="47"/>
      <c r="F123" s="44"/>
      <c r="G123" s="47"/>
      <c r="H123" s="48"/>
    </row>
    <row r="124" spans="1:8" x14ac:dyDescent="0.3">
      <c r="A124" s="45"/>
      <c r="B124" s="46"/>
      <c r="C124" s="46"/>
      <c r="D124" s="47"/>
      <c r="E124" s="47"/>
      <c r="F124" s="44"/>
      <c r="G124" s="47"/>
      <c r="H124" s="48"/>
    </row>
    <row r="125" spans="1:8" x14ac:dyDescent="0.3">
      <c r="A125" s="45"/>
      <c r="B125" s="46"/>
      <c r="C125" s="46"/>
      <c r="D125" s="47"/>
      <c r="E125" s="47"/>
      <c r="F125" s="44"/>
      <c r="G125" s="47"/>
      <c r="H125" s="48"/>
    </row>
    <row r="126" spans="1:8" x14ac:dyDescent="0.3">
      <c r="A126" s="45"/>
      <c r="B126" s="46"/>
      <c r="C126" s="46"/>
      <c r="D126" s="47"/>
      <c r="E126" s="47"/>
      <c r="F126" s="44"/>
      <c r="G126" s="47"/>
      <c r="H126" s="48"/>
    </row>
    <row r="127" spans="1:8" x14ac:dyDescent="0.3">
      <c r="A127" s="45"/>
      <c r="B127" s="46"/>
      <c r="C127" s="46"/>
      <c r="D127" s="47"/>
      <c r="E127" s="47"/>
      <c r="F127" s="44"/>
      <c r="G127" s="47"/>
      <c r="H127" s="48"/>
    </row>
    <row r="128" spans="1:8" x14ac:dyDescent="0.3">
      <c r="A128" s="45"/>
      <c r="B128" s="46"/>
      <c r="C128" s="46"/>
      <c r="D128" s="47"/>
      <c r="E128" s="47"/>
      <c r="F128" s="44"/>
      <c r="G128" s="47"/>
      <c r="H128" s="48"/>
    </row>
    <row r="129" spans="1:8" x14ac:dyDescent="0.3">
      <c r="A129" s="45"/>
      <c r="B129" s="46"/>
      <c r="C129" s="46"/>
      <c r="D129" s="47"/>
      <c r="E129" s="47"/>
      <c r="F129" s="44"/>
      <c r="G129" s="47"/>
      <c r="H129" s="48"/>
    </row>
    <row r="130" spans="1:8" x14ac:dyDescent="0.3">
      <c r="A130" s="45"/>
      <c r="B130" s="46"/>
      <c r="C130" s="46"/>
      <c r="D130" s="47"/>
      <c r="E130" s="47"/>
      <c r="F130" s="44"/>
      <c r="G130" s="47"/>
      <c r="H130" s="48"/>
    </row>
    <row r="131" spans="1:8" x14ac:dyDescent="0.3">
      <c r="A131" s="45"/>
      <c r="B131" s="46"/>
      <c r="C131" s="46"/>
      <c r="D131" s="47"/>
      <c r="E131" s="47"/>
      <c r="F131" s="44"/>
      <c r="G131" s="47"/>
      <c r="H131" s="48"/>
    </row>
    <row r="132" spans="1:8" x14ac:dyDescent="0.3">
      <c r="A132" s="45"/>
      <c r="B132" s="46"/>
      <c r="C132" s="46"/>
      <c r="D132" s="47"/>
      <c r="E132" s="47"/>
      <c r="F132" s="44"/>
      <c r="G132" s="47"/>
      <c r="H132" s="48"/>
    </row>
    <row r="133" spans="1:8" x14ac:dyDescent="0.3">
      <c r="A133" s="45"/>
      <c r="B133" s="46"/>
      <c r="C133" s="46"/>
      <c r="D133" s="47"/>
      <c r="E133" s="47"/>
      <c r="F133" s="44"/>
      <c r="G133" s="47"/>
      <c r="H133" s="48"/>
    </row>
    <row r="134" spans="1:8" x14ac:dyDescent="0.3">
      <c r="A134" s="45"/>
      <c r="B134" s="46"/>
      <c r="C134" s="46"/>
      <c r="D134" s="47"/>
      <c r="E134" s="47"/>
      <c r="F134" s="44"/>
      <c r="G134" s="47"/>
      <c r="H134" s="48"/>
    </row>
    <row r="135" spans="1:8" x14ac:dyDescent="0.3">
      <c r="A135" s="45"/>
      <c r="B135" s="46"/>
      <c r="C135" s="46"/>
      <c r="D135" s="47"/>
      <c r="E135" s="47"/>
      <c r="F135" s="44"/>
      <c r="G135" s="47"/>
      <c r="H135" s="48"/>
    </row>
    <row r="136" spans="1:8" x14ac:dyDescent="0.3">
      <c r="A136" s="45"/>
      <c r="B136" s="46"/>
      <c r="C136" s="46"/>
      <c r="D136" s="47"/>
      <c r="E136" s="47"/>
      <c r="F136" s="44"/>
      <c r="G136" s="47"/>
      <c r="H136" s="48"/>
    </row>
    <row r="137" spans="1:8" x14ac:dyDescent="0.3">
      <c r="A137" s="45"/>
      <c r="B137" s="46"/>
      <c r="C137" s="46"/>
      <c r="D137" s="47"/>
      <c r="E137" s="47"/>
      <c r="F137" s="44"/>
      <c r="G137" s="47"/>
      <c r="H137" s="48"/>
    </row>
    <row r="138" spans="1:8" x14ac:dyDescent="0.3">
      <c r="A138" s="45"/>
      <c r="B138" s="46"/>
      <c r="C138" s="46"/>
      <c r="D138" s="47"/>
      <c r="E138" s="47"/>
      <c r="F138" s="44"/>
      <c r="G138" s="47"/>
      <c r="H138" s="48"/>
    </row>
    <row r="139" spans="1:8" x14ac:dyDescent="0.3">
      <c r="A139" s="45"/>
      <c r="B139" s="46"/>
      <c r="C139" s="46"/>
      <c r="D139" s="47"/>
      <c r="E139" s="47"/>
      <c r="F139" s="44"/>
      <c r="G139" s="47"/>
      <c r="H139" s="48"/>
    </row>
    <row r="140" spans="1:8" x14ac:dyDescent="0.3">
      <c r="A140" s="45"/>
      <c r="B140" s="46"/>
      <c r="C140" s="46"/>
      <c r="D140" s="47"/>
      <c r="E140" s="47"/>
      <c r="F140" s="44"/>
      <c r="G140" s="47"/>
      <c r="H140" s="48"/>
    </row>
    <row r="141" spans="1:8" x14ac:dyDescent="0.3">
      <c r="A141" s="45"/>
      <c r="B141" s="46"/>
      <c r="C141" s="46"/>
      <c r="D141" s="47"/>
      <c r="E141" s="47"/>
      <c r="F141" s="44"/>
      <c r="G141" s="47"/>
      <c r="H141" s="48"/>
    </row>
    <row r="142" spans="1:8" x14ac:dyDescent="0.3">
      <c r="A142" s="45"/>
      <c r="B142" s="46"/>
      <c r="C142" s="46"/>
      <c r="D142" s="47"/>
      <c r="E142" s="47"/>
      <c r="F142" s="44"/>
      <c r="G142" s="47"/>
      <c r="H142" s="48"/>
    </row>
    <row r="143" spans="1:8" x14ac:dyDescent="0.3">
      <c r="A143" s="45"/>
      <c r="B143" s="46"/>
      <c r="C143" s="46"/>
      <c r="D143" s="47"/>
      <c r="E143" s="47"/>
      <c r="F143" s="44"/>
      <c r="G143" s="47"/>
      <c r="H143" s="48"/>
    </row>
    <row r="144" spans="1:8" x14ac:dyDescent="0.3">
      <c r="A144" s="45"/>
      <c r="B144" s="46"/>
      <c r="C144" s="46"/>
      <c r="D144" s="47"/>
      <c r="E144" s="47"/>
      <c r="F144" s="44"/>
      <c r="G144" s="47"/>
      <c r="H144" s="48"/>
    </row>
    <row r="145" spans="1:8" x14ac:dyDescent="0.3">
      <c r="A145" s="45"/>
      <c r="B145" s="46"/>
      <c r="C145" s="46"/>
      <c r="D145" s="47"/>
      <c r="E145" s="47"/>
      <c r="F145" s="44"/>
      <c r="G145" s="47"/>
      <c r="H145" s="48"/>
    </row>
    <row r="146" spans="1:8" x14ac:dyDescent="0.3">
      <c r="A146" s="45"/>
      <c r="B146" s="46"/>
      <c r="C146" s="46"/>
      <c r="D146" s="47"/>
      <c r="E146" s="47"/>
      <c r="F146" s="44"/>
      <c r="G146" s="47"/>
      <c r="H146" s="48"/>
    </row>
    <row r="147" spans="1:8" x14ac:dyDescent="0.3">
      <c r="A147" s="45"/>
      <c r="B147" s="46"/>
      <c r="C147" s="46"/>
      <c r="D147" s="47"/>
      <c r="E147" s="47"/>
      <c r="F147" s="44"/>
      <c r="G147" s="47"/>
      <c r="H147" s="48"/>
    </row>
    <row r="148" spans="1:8" x14ac:dyDescent="0.3">
      <c r="A148" s="45"/>
      <c r="B148" s="46"/>
      <c r="C148" s="46"/>
      <c r="D148" s="47"/>
      <c r="E148" s="47"/>
      <c r="F148" s="44"/>
      <c r="G148" s="47"/>
      <c r="H148" s="48"/>
    </row>
    <row r="149" spans="1:8" x14ac:dyDescent="0.3">
      <c r="A149" s="45"/>
      <c r="B149" s="46"/>
      <c r="C149" s="46"/>
      <c r="D149" s="47"/>
      <c r="E149" s="47"/>
      <c r="F149" s="44"/>
      <c r="G149" s="47"/>
      <c r="H149" s="48"/>
    </row>
    <row r="150" spans="1:8" x14ac:dyDescent="0.3">
      <c r="A150" s="45"/>
      <c r="B150" s="46"/>
      <c r="C150" s="46"/>
      <c r="D150" s="47"/>
      <c r="E150" s="47"/>
      <c r="F150" s="44"/>
      <c r="G150" s="47"/>
      <c r="H150" s="48"/>
    </row>
    <row r="151" spans="1:8" x14ac:dyDescent="0.3">
      <c r="A151" s="45"/>
      <c r="B151" s="46"/>
      <c r="C151" s="46"/>
      <c r="D151" s="47"/>
      <c r="E151" s="47"/>
      <c r="F151" s="44"/>
      <c r="G151" s="47"/>
      <c r="H151" s="48"/>
    </row>
    <row r="152" spans="1:8" x14ac:dyDescent="0.3">
      <c r="A152" s="45"/>
      <c r="B152" s="46"/>
      <c r="C152" s="46"/>
      <c r="D152" s="47"/>
      <c r="E152" s="47"/>
      <c r="F152" s="44"/>
      <c r="G152" s="47"/>
      <c r="H152" s="48"/>
    </row>
    <row r="153" spans="1:8" x14ac:dyDescent="0.3">
      <c r="A153" s="45"/>
      <c r="B153" s="46"/>
      <c r="C153" s="46"/>
      <c r="D153" s="47"/>
      <c r="E153" s="47"/>
      <c r="F153" s="44"/>
      <c r="G153" s="47"/>
      <c r="H153" s="48"/>
    </row>
    <row r="154" spans="1:8" x14ac:dyDescent="0.3">
      <c r="A154" s="45"/>
      <c r="B154" s="46"/>
      <c r="C154" s="46"/>
      <c r="D154" s="47"/>
      <c r="E154" s="47"/>
      <c r="F154" s="44"/>
      <c r="G154" s="47"/>
      <c r="H154" s="48"/>
    </row>
    <row r="155" spans="1:8" x14ac:dyDescent="0.3">
      <c r="A155" s="45"/>
      <c r="B155" s="46"/>
      <c r="C155" s="46"/>
      <c r="D155" s="47"/>
      <c r="E155" s="47"/>
      <c r="F155" s="44"/>
      <c r="G155" s="47"/>
      <c r="H155" s="48"/>
    </row>
    <row r="156" spans="1:8" x14ac:dyDescent="0.3">
      <c r="A156" s="45"/>
      <c r="B156" s="46"/>
      <c r="C156" s="46"/>
      <c r="D156" s="47"/>
      <c r="E156" s="47"/>
      <c r="F156" s="44"/>
      <c r="G156" s="47"/>
      <c r="H156" s="48"/>
    </row>
    <row r="157" spans="1:8" x14ac:dyDescent="0.3">
      <c r="A157" s="45"/>
      <c r="B157" s="46"/>
      <c r="C157" s="46"/>
      <c r="D157" s="47"/>
      <c r="E157" s="47"/>
      <c r="F157" s="44"/>
      <c r="G157" s="47"/>
      <c r="H157" s="48"/>
    </row>
    <row r="158" spans="1:8" x14ac:dyDescent="0.3">
      <c r="A158" s="45"/>
      <c r="B158" s="46"/>
      <c r="C158" s="46"/>
      <c r="D158" s="47"/>
      <c r="E158" s="47"/>
      <c r="F158" s="44"/>
      <c r="G158" s="47"/>
      <c r="H158" s="48"/>
    </row>
    <row r="159" spans="1:8" x14ac:dyDescent="0.3">
      <c r="A159" s="45"/>
      <c r="B159" s="46"/>
      <c r="C159" s="46"/>
      <c r="D159" s="47"/>
      <c r="E159" s="47"/>
      <c r="F159" s="44"/>
      <c r="G159" s="47"/>
      <c r="H159" s="48"/>
    </row>
    <row r="160" spans="1:8" x14ac:dyDescent="0.3">
      <c r="A160" s="45"/>
      <c r="B160" s="46"/>
      <c r="C160" s="46"/>
      <c r="D160" s="47"/>
      <c r="E160" s="47"/>
      <c r="F160" s="44"/>
      <c r="G160" s="47"/>
      <c r="H160" s="48"/>
    </row>
    <row r="161" spans="1:8" x14ac:dyDescent="0.3">
      <c r="A161" s="45"/>
      <c r="B161" s="46"/>
      <c r="C161" s="46"/>
      <c r="D161" s="47"/>
      <c r="E161" s="47"/>
      <c r="F161" s="44"/>
      <c r="G161" s="47"/>
      <c r="H161" s="48"/>
    </row>
    <row r="162" spans="1:8" x14ac:dyDescent="0.3">
      <c r="A162" s="45"/>
      <c r="B162" s="46"/>
      <c r="C162" s="46"/>
      <c r="D162" s="47"/>
      <c r="E162" s="47"/>
      <c r="F162" s="44"/>
      <c r="G162" s="47"/>
      <c r="H162" s="48"/>
    </row>
    <row r="163" spans="1:8" x14ac:dyDescent="0.3">
      <c r="A163" s="45"/>
      <c r="B163" s="46"/>
      <c r="C163" s="46"/>
      <c r="D163" s="47"/>
      <c r="E163" s="47"/>
      <c r="F163" s="44"/>
      <c r="G163" s="47"/>
      <c r="H163" s="48"/>
    </row>
    <row r="164" spans="1:8" x14ac:dyDescent="0.3">
      <c r="A164" s="45"/>
      <c r="B164" s="46"/>
      <c r="C164" s="46"/>
      <c r="D164" s="47"/>
      <c r="E164" s="47"/>
      <c r="F164" s="44"/>
      <c r="G164" s="47"/>
      <c r="H164" s="48"/>
    </row>
    <row r="165" spans="1:8" x14ac:dyDescent="0.3">
      <c r="A165" s="45"/>
      <c r="B165" s="46"/>
      <c r="C165" s="46"/>
      <c r="D165" s="47"/>
      <c r="E165" s="47"/>
      <c r="F165" s="44"/>
      <c r="G165" s="47"/>
      <c r="H165" s="48"/>
    </row>
    <row r="166" spans="1:8" x14ac:dyDescent="0.3">
      <c r="A166" s="45"/>
      <c r="B166" s="46"/>
      <c r="C166" s="46"/>
      <c r="D166" s="47"/>
      <c r="E166" s="47"/>
      <c r="F166" s="44"/>
      <c r="G166" s="47"/>
      <c r="H166" s="48"/>
    </row>
    <row r="167" spans="1:8" x14ac:dyDescent="0.3">
      <c r="A167" s="45"/>
      <c r="B167" s="46"/>
      <c r="C167" s="46"/>
      <c r="D167" s="47"/>
      <c r="E167" s="47"/>
      <c r="F167" s="44"/>
      <c r="G167" s="47"/>
      <c r="H167" s="48"/>
    </row>
    <row r="168" spans="1:8" x14ac:dyDescent="0.3">
      <c r="A168" s="45"/>
      <c r="B168" s="46"/>
      <c r="C168" s="46"/>
      <c r="D168" s="47"/>
      <c r="E168" s="47"/>
      <c r="F168" s="44"/>
      <c r="G168" s="47"/>
      <c r="H168" s="48"/>
    </row>
    <row r="169" spans="1:8" x14ac:dyDescent="0.3">
      <c r="A169" s="45"/>
      <c r="B169" s="46"/>
      <c r="C169" s="46"/>
      <c r="D169" s="47"/>
      <c r="E169" s="47"/>
      <c r="F169" s="44"/>
      <c r="G169" s="47"/>
      <c r="H169" s="48"/>
    </row>
    <row r="170" spans="1:8" x14ac:dyDescent="0.3">
      <c r="A170" s="45"/>
      <c r="B170" s="46"/>
      <c r="C170" s="46"/>
      <c r="D170" s="47"/>
      <c r="E170" s="47"/>
      <c r="F170" s="44"/>
      <c r="G170" s="47"/>
      <c r="H170" s="48"/>
    </row>
    <row r="171" spans="1:8" x14ac:dyDescent="0.3">
      <c r="A171" s="45"/>
      <c r="B171" s="46"/>
      <c r="C171" s="46"/>
      <c r="D171" s="47"/>
      <c r="E171" s="47"/>
      <c r="F171" s="44"/>
      <c r="G171" s="47"/>
      <c r="H171" s="48"/>
    </row>
    <row r="172" spans="1:8" x14ac:dyDescent="0.3">
      <c r="A172" s="45"/>
      <c r="B172" s="46"/>
      <c r="C172" s="46"/>
      <c r="D172" s="47"/>
      <c r="E172" s="47"/>
      <c r="F172" s="44"/>
      <c r="G172" s="47"/>
      <c r="H172" s="48"/>
    </row>
    <row r="173" spans="1:8" x14ac:dyDescent="0.3">
      <c r="A173" s="45"/>
      <c r="B173" s="46"/>
      <c r="C173" s="46"/>
      <c r="D173" s="47"/>
      <c r="E173" s="47"/>
      <c r="F173" s="44"/>
      <c r="G173" s="47"/>
      <c r="H173" s="48"/>
    </row>
    <row r="174" spans="1:8" x14ac:dyDescent="0.3">
      <c r="A174" s="45"/>
      <c r="B174" s="46"/>
      <c r="C174" s="46"/>
      <c r="D174" s="47"/>
      <c r="E174" s="47"/>
      <c r="F174" s="44"/>
      <c r="G174" s="47"/>
      <c r="H174" s="48"/>
    </row>
    <row r="175" spans="1:8" x14ac:dyDescent="0.3">
      <c r="A175" s="45"/>
      <c r="B175" s="46"/>
      <c r="C175" s="46"/>
      <c r="D175" s="47"/>
      <c r="E175" s="47"/>
      <c r="F175" s="44"/>
      <c r="G175" s="47"/>
      <c r="H175" s="48"/>
    </row>
    <row r="176" spans="1:8" x14ac:dyDescent="0.3">
      <c r="A176" s="45"/>
      <c r="B176" s="46"/>
      <c r="C176" s="46"/>
      <c r="D176" s="47"/>
      <c r="E176" s="47"/>
      <c r="F176" s="44"/>
      <c r="G176" s="47"/>
      <c r="H176" s="48"/>
    </row>
    <row r="177" spans="1:8" x14ac:dyDescent="0.3">
      <c r="A177" s="45"/>
      <c r="B177" s="46"/>
      <c r="C177" s="46"/>
      <c r="D177" s="47"/>
      <c r="E177" s="47"/>
      <c r="F177" s="44"/>
      <c r="G177" s="47"/>
      <c r="H177" s="48"/>
    </row>
    <row r="178" spans="1:8" x14ac:dyDescent="0.3">
      <c r="A178" s="45"/>
      <c r="B178" s="46"/>
      <c r="C178" s="46"/>
      <c r="D178" s="47"/>
      <c r="E178" s="47"/>
      <c r="F178" s="44"/>
      <c r="G178" s="47"/>
      <c r="H178" s="48"/>
    </row>
    <row r="179" spans="1:8" x14ac:dyDescent="0.3">
      <c r="A179" s="45"/>
      <c r="B179" s="46"/>
      <c r="C179" s="46"/>
      <c r="D179" s="47"/>
      <c r="E179" s="47"/>
      <c r="F179" s="44"/>
      <c r="G179" s="47"/>
      <c r="H179" s="48"/>
    </row>
    <row r="180" spans="1:8" x14ac:dyDescent="0.3">
      <c r="A180" s="45"/>
      <c r="B180" s="46"/>
      <c r="C180" s="46"/>
      <c r="D180" s="47"/>
      <c r="E180" s="47"/>
      <c r="F180" s="44"/>
      <c r="G180" s="47"/>
      <c r="H180" s="48"/>
    </row>
    <row r="181" spans="1:8" x14ac:dyDescent="0.3">
      <c r="A181" s="45"/>
      <c r="B181" s="46"/>
      <c r="C181" s="46"/>
      <c r="D181" s="47"/>
      <c r="E181" s="47"/>
      <c r="F181" s="44"/>
      <c r="G181" s="47"/>
      <c r="H181" s="48"/>
    </row>
    <row r="182" spans="1:8" x14ac:dyDescent="0.3">
      <c r="A182" s="45"/>
      <c r="B182" s="46"/>
      <c r="C182" s="46"/>
      <c r="D182" s="47"/>
      <c r="E182" s="47"/>
      <c r="F182" s="44"/>
      <c r="G182" s="47"/>
      <c r="H182" s="48"/>
    </row>
    <row r="183" spans="1:8" x14ac:dyDescent="0.3">
      <c r="A183" s="45"/>
      <c r="B183" s="46"/>
      <c r="C183" s="46"/>
      <c r="D183" s="47"/>
      <c r="E183" s="47"/>
      <c r="F183" s="44"/>
      <c r="G183" s="47"/>
      <c r="H183" s="48"/>
    </row>
    <row r="184" spans="1:8" x14ac:dyDescent="0.3">
      <c r="A184" s="45"/>
      <c r="B184" s="46"/>
      <c r="C184" s="46"/>
      <c r="D184" s="47"/>
      <c r="E184" s="47"/>
      <c r="F184" s="44"/>
      <c r="G184" s="47"/>
      <c r="H184" s="48"/>
    </row>
    <row r="185" spans="1:8" x14ac:dyDescent="0.3">
      <c r="A185" s="45"/>
      <c r="B185" s="46"/>
      <c r="C185" s="46"/>
      <c r="D185" s="47"/>
      <c r="E185" s="47"/>
      <c r="F185" s="44"/>
      <c r="G185" s="47"/>
      <c r="H185" s="48"/>
    </row>
    <row r="186" spans="1:8" x14ac:dyDescent="0.3">
      <c r="A186" s="45"/>
      <c r="B186" s="46"/>
      <c r="C186" s="46"/>
      <c r="D186" s="47"/>
      <c r="E186" s="47"/>
      <c r="F186" s="44"/>
      <c r="G186" s="47"/>
      <c r="H186" s="48"/>
    </row>
    <row r="187" spans="1:8" x14ac:dyDescent="0.3">
      <c r="A187" s="45"/>
      <c r="B187" s="46"/>
      <c r="C187" s="46"/>
      <c r="D187" s="47"/>
      <c r="E187" s="47"/>
      <c r="F187" s="44"/>
      <c r="G187" s="47"/>
      <c r="H187" s="48"/>
    </row>
    <row r="188" spans="1:8" x14ac:dyDescent="0.3">
      <c r="A188" s="45"/>
      <c r="B188" s="46"/>
      <c r="C188" s="46"/>
      <c r="D188" s="47"/>
      <c r="E188" s="47"/>
      <c r="F188" s="44"/>
      <c r="G188" s="47"/>
      <c r="H188" s="48"/>
    </row>
    <row r="189" spans="1:8" x14ac:dyDescent="0.3">
      <c r="A189" s="45"/>
      <c r="B189" s="46"/>
      <c r="C189" s="46"/>
      <c r="D189" s="47"/>
      <c r="E189" s="47"/>
      <c r="F189" s="44"/>
      <c r="G189" s="47"/>
      <c r="H189" s="48"/>
    </row>
    <row r="190" spans="1:8" x14ac:dyDescent="0.3">
      <c r="A190" s="45"/>
      <c r="B190" s="46"/>
      <c r="C190" s="46"/>
      <c r="D190" s="47"/>
      <c r="E190" s="47"/>
      <c r="F190" s="44"/>
      <c r="G190" s="47"/>
      <c r="H190" s="48"/>
    </row>
    <row r="191" spans="1:8" x14ac:dyDescent="0.3">
      <c r="A191" s="45"/>
      <c r="B191" s="46"/>
      <c r="C191" s="46"/>
      <c r="D191" s="47"/>
      <c r="E191" s="47"/>
      <c r="F191" s="44"/>
      <c r="G191" s="47"/>
      <c r="H191" s="48"/>
    </row>
    <row r="192" spans="1:8" x14ac:dyDescent="0.3">
      <c r="A192" s="45"/>
      <c r="B192" s="46"/>
      <c r="C192" s="46"/>
      <c r="D192" s="47"/>
      <c r="E192" s="47"/>
      <c r="F192" s="44"/>
      <c r="G192" s="47"/>
      <c r="H192" s="48"/>
    </row>
    <row r="193" spans="1:8" x14ac:dyDescent="0.3">
      <c r="A193" s="45"/>
      <c r="B193" s="46"/>
      <c r="C193" s="46"/>
      <c r="D193" s="47"/>
      <c r="E193" s="47"/>
      <c r="F193" s="44"/>
      <c r="G193" s="47"/>
      <c r="H193" s="48"/>
    </row>
    <row r="194" spans="1:8" x14ac:dyDescent="0.3">
      <c r="A194" s="45"/>
      <c r="B194" s="46"/>
      <c r="C194" s="46"/>
      <c r="D194" s="47"/>
      <c r="E194" s="47"/>
      <c r="F194" s="44"/>
      <c r="G194" s="47"/>
      <c r="H194" s="48"/>
    </row>
    <row r="195" spans="1:8" x14ac:dyDescent="0.3">
      <c r="A195" s="45"/>
      <c r="B195" s="46"/>
      <c r="C195" s="46"/>
      <c r="D195" s="47"/>
      <c r="E195" s="47"/>
      <c r="F195" s="44"/>
      <c r="G195" s="47"/>
      <c r="H195" s="48"/>
    </row>
    <row r="196" spans="1:8" x14ac:dyDescent="0.3">
      <c r="A196" s="45"/>
      <c r="B196" s="46"/>
      <c r="C196" s="46"/>
      <c r="D196" s="47"/>
      <c r="E196" s="47"/>
      <c r="F196" s="44"/>
      <c r="G196" s="47"/>
      <c r="H196" s="48"/>
    </row>
    <row r="197" spans="1:8" x14ac:dyDescent="0.3">
      <c r="A197" s="45"/>
      <c r="B197" s="46"/>
      <c r="C197" s="46"/>
      <c r="D197" s="47"/>
      <c r="E197" s="47"/>
      <c r="F197" s="44"/>
      <c r="G197" s="47"/>
      <c r="H197" s="48"/>
    </row>
    <row r="198" spans="1:8" x14ac:dyDescent="0.3">
      <c r="A198" s="45"/>
      <c r="B198" s="46"/>
      <c r="C198" s="46"/>
      <c r="D198" s="47"/>
      <c r="E198" s="47"/>
      <c r="F198" s="44"/>
      <c r="G198" s="47"/>
      <c r="H198" s="48"/>
    </row>
    <row r="199" spans="1:8" x14ac:dyDescent="0.3">
      <c r="A199" s="45"/>
      <c r="B199" s="46"/>
      <c r="C199" s="46"/>
      <c r="D199" s="47"/>
      <c r="E199" s="47"/>
      <c r="F199" s="44"/>
      <c r="G199" s="47"/>
      <c r="H199" s="48"/>
    </row>
    <row r="200" spans="1:8" x14ac:dyDescent="0.3">
      <c r="A200" s="45"/>
      <c r="B200" s="46"/>
      <c r="C200" s="46"/>
      <c r="D200" s="47"/>
      <c r="E200" s="47"/>
      <c r="F200" s="44"/>
      <c r="G200" s="47"/>
      <c r="H200" s="48"/>
    </row>
    <row r="201" spans="1:8" x14ac:dyDescent="0.3">
      <c r="A201" s="45"/>
      <c r="B201" s="46"/>
      <c r="C201" s="46"/>
      <c r="D201" s="47"/>
      <c r="E201" s="47"/>
      <c r="F201" s="44"/>
      <c r="G201" s="47"/>
      <c r="H201" s="48"/>
    </row>
    <row r="202" spans="1:8" x14ac:dyDescent="0.3">
      <c r="A202" s="45"/>
      <c r="B202" s="46"/>
      <c r="C202" s="46"/>
      <c r="D202" s="47"/>
      <c r="E202" s="47"/>
      <c r="F202" s="44"/>
      <c r="G202" s="47"/>
      <c r="H202" s="48"/>
    </row>
    <row r="203" spans="1:8" x14ac:dyDescent="0.3">
      <c r="A203" s="45"/>
      <c r="B203" s="46"/>
      <c r="C203" s="46"/>
      <c r="D203" s="47"/>
      <c r="E203" s="47"/>
      <c r="F203" s="44"/>
      <c r="G203" s="47"/>
      <c r="H203" s="48"/>
    </row>
    <row r="204" spans="1:8" x14ac:dyDescent="0.3">
      <c r="A204" s="45"/>
      <c r="B204" s="46"/>
      <c r="C204" s="46"/>
      <c r="D204" s="47"/>
      <c r="E204" s="47"/>
      <c r="F204" s="44"/>
      <c r="G204" s="47"/>
      <c r="H204" s="48"/>
    </row>
    <row r="205" spans="1:8" x14ac:dyDescent="0.3">
      <c r="A205" s="45"/>
      <c r="B205" s="46"/>
      <c r="C205" s="46"/>
      <c r="D205" s="47"/>
      <c r="E205" s="47"/>
      <c r="F205" s="44"/>
      <c r="G205" s="47"/>
      <c r="H205" s="48"/>
    </row>
    <row r="206" spans="1:8" x14ac:dyDescent="0.3">
      <c r="A206" s="45"/>
      <c r="B206" s="46"/>
      <c r="C206" s="46"/>
      <c r="D206" s="47"/>
      <c r="E206" s="47"/>
      <c r="F206" s="44"/>
      <c r="G206" s="47"/>
      <c r="H206" s="48"/>
    </row>
    <row r="207" spans="1:8" x14ac:dyDescent="0.3">
      <c r="A207" s="45"/>
      <c r="B207" s="46"/>
      <c r="C207" s="46"/>
      <c r="D207" s="47"/>
      <c r="E207" s="47"/>
      <c r="F207" s="44"/>
      <c r="G207" s="47"/>
      <c r="H207" s="48"/>
    </row>
    <row r="208" spans="1:8" x14ac:dyDescent="0.3">
      <c r="A208" s="45"/>
      <c r="B208" s="46"/>
      <c r="C208" s="46"/>
      <c r="D208" s="47"/>
      <c r="E208" s="47"/>
      <c r="F208" s="44"/>
      <c r="G208" s="47"/>
      <c r="H208" s="48"/>
    </row>
    <row r="209" spans="1:8" x14ac:dyDescent="0.3">
      <c r="A209" s="45"/>
      <c r="B209" s="46"/>
      <c r="C209" s="46"/>
      <c r="D209" s="47"/>
      <c r="E209" s="47"/>
      <c r="F209" s="44"/>
      <c r="G209" s="47"/>
      <c r="H209" s="48"/>
    </row>
    <row r="210" spans="1:8" x14ac:dyDescent="0.3">
      <c r="A210" s="45"/>
      <c r="B210" s="46"/>
      <c r="C210" s="46"/>
      <c r="D210" s="47"/>
      <c r="E210" s="47"/>
      <c r="F210" s="44"/>
      <c r="G210" s="47"/>
      <c r="H210" s="48"/>
    </row>
    <row r="211" spans="1:8" x14ac:dyDescent="0.3">
      <c r="A211" s="45"/>
      <c r="B211" s="46"/>
      <c r="C211" s="46"/>
      <c r="D211" s="47"/>
      <c r="E211" s="47"/>
      <c r="F211" s="44"/>
      <c r="G211" s="47"/>
      <c r="H211" s="48"/>
    </row>
    <row r="212" spans="1:8" x14ac:dyDescent="0.3">
      <c r="A212" s="45"/>
      <c r="B212" s="46"/>
      <c r="C212" s="46"/>
      <c r="D212" s="47"/>
      <c r="E212" s="47"/>
      <c r="F212" s="44"/>
      <c r="G212" s="47"/>
      <c r="H212" s="48"/>
    </row>
    <row r="213" spans="1:8" x14ac:dyDescent="0.3">
      <c r="A213" s="45"/>
      <c r="B213" s="46"/>
      <c r="C213" s="46"/>
      <c r="D213" s="47"/>
      <c r="E213" s="47"/>
      <c r="F213" s="44"/>
      <c r="G213" s="47"/>
      <c r="H213" s="48"/>
    </row>
    <row r="214" spans="1:8" x14ac:dyDescent="0.3">
      <c r="A214" s="45"/>
      <c r="B214" s="46"/>
      <c r="C214" s="46"/>
      <c r="D214" s="47"/>
      <c r="E214" s="47"/>
      <c r="F214" s="44"/>
      <c r="G214" s="47"/>
      <c r="H214" s="48"/>
    </row>
    <row r="215" spans="1:8" x14ac:dyDescent="0.3">
      <c r="A215" s="45"/>
      <c r="B215" s="46"/>
      <c r="C215" s="46"/>
      <c r="D215" s="47"/>
      <c r="E215" s="47"/>
      <c r="F215" s="44"/>
      <c r="G215" s="47"/>
      <c r="H215" s="48"/>
    </row>
    <row r="216" spans="1:8" x14ac:dyDescent="0.3">
      <c r="A216" s="45"/>
      <c r="B216" s="46"/>
      <c r="C216" s="46"/>
      <c r="D216" s="47"/>
      <c r="E216" s="47"/>
      <c r="F216" s="44"/>
      <c r="G216" s="47"/>
      <c r="H216" s="48"/>
    </row>
    <row r="217" spans="1:8" x14ac:dyDescent="0.3">
      <c r="A217" s="45"/>
      <c r="B217" s="46"/>
      <c r="C217" s="46"/>
      <c r="D217" s="47"/>
      <c r="E217" s="47"/>
      <c r="F217" s="44"/>
      <c r="G217" s="47"/>
      <c r="H217" s="48"/>
    </row>
    <row r="218" spans="1:8" x14ac:dyDescent="0.3">
      <c r="A218" s="45"/>
      <c r="B218" s="46"/>
      <c r="C218" s="46"/>
      <c r="D218" s="47"/>
      <c r="E218" s="47"/>
      <c r="F218" s="44"/>
      <c r="G218" s="47"/>
      <c r="H218" s="48"/>
    </row>
    <row r="219" spans="1:8" x14ac:dyDescent="0.3">
      <c r="A219" s="45"/>
      <c r="B219" s="46"/>
      <c r="C219" s="46"/>
      <c r="D219" s="47"/>
      <c r="E219" s="47"/>
      <c r="F219" s="44"/>
      <c r="G219" s="47"/>
      <c r="H219" s="48"/>
    </row>
    <row r="220" spans="1:8" x14ac:dyDescent="0.3">
      <c r="A220" s="45"/>
      <c r="B220" s="46"/>
      <c r="C220" s="46"/>
      <c r="D220" s="47"/>
      <c r="E220" s="47"/>
      <c r="F220" s="44"/>
      <c r="G220" s="47"/>
      <c r="H220" s="48"/>
    </row>
    <row r="221" spans="1:8" x14ac:dyDescent="0.3">
      <c r="A221" s="45"/>
      <c r="B221" s="46"/>
      <c r="C221" s="46"/>
      <c r="D221" s="47"/>
      <c r="E221" s="47"/>
      <c r="F221" s="44"/>
      <c r="G221" s="47"/>
      <c r="H221" s="48"/>
    </row>
    <row r="222" spans="1:8" x14ac:dyDescent="0.3">
      <c r="A222" s="45"/>
      <c r="B222" s="46"/>
      <c r="C222" s="46"/>
      <c r="D222" s="47"/>
      <c r="E222" s="47"/>
      <c r="F222" s="44"/>
      <c r="G222" s="47"/>
      <c r="H222" s="48"/>
    </row>
    <row r="223" spans="1:8" x14ac:dyDescent="0.3">
      <c r="A223" s="45"/>
      <c r="B223" s="46"/>
      <c r="C223" s="46"/>
      <c r="D223" s="47"/>
      <c r="E223" s="47"/>
      <c r="F223" s="44"/>
      <c r="G223" s="47"/>
      <c r="H223" s="48"/>
    </row>
    <row r="224" spans="1:8" x14ac:dyDescent="0.3">
      <c r="A224" s="45"/>
      <c r="B224" s="46"/>
      <c r="C224" s="46"/>
      <c r="D224" s="47"/>
      <c r="E224" s="47"/>
      <c r="F224" s="44"/>
      <c r="G224" s="47"/>
      <c r="H224" s="48"/>
    </row>
    <row r="225" spans="1:8" x14ac:dyDescent="0.3">
      <c r="A225" s="45"/>
      <c r="B225" s="46"/>
      <c r="C225" s="46"/>
      <c r="D225" s="47"/>
      <c r="E225" s="47"/>
      <c r="F225" s="44"/>
      <c r="G225" s="47"/>
      <c r="H225" s="48"/>
    </row>
    <row r="226" spans="1:8" x14ac:dyDescent="0.3">
      <c r="A226" s="45"/>
      <c r="B226" s="46"/>
      <c r="C226" s="46"/>
      <c r="D226" s="47"/>
      <c r="E226" s="47"/>
      <c r="F226" s="44"/>
      <c r="G226" s="47"/>
      <c r="H226" s="48"/>
    </row>
    <row r="227" spans="1:8" x14ac:dyDescent="0.3">
      <c r="A227" s="45"/>
      <c r="B227" s="46"/>
      <c r="C227" s="46"/>
      <c r="D227" s="47"/>
      <c r="E227" s="47"/>
      <c r="F227" s="44"/>
      <c r="G227" s="47"/>
      <c r="H227" s="48"/>
    </row>
    <row r="228" spans="1:8" x14ac:dyDescent="0.3">
      <c r="A228" s="45"/>
      <c r="B228" s="46"/>
      <c r="C228" s="46"/>
      <c r="D228" s="47"/>
      <c r="E228" s="47"/>
      <c r="F228" s="44"/>
      <c r="G228" s="47"/>
      <c r="H228" s="48"/>
    </row>
    <row r="229" spans="1:8" x14ac:dyDescent="0.3">
      <c r="A229" s="45"/>
      <c r="B229" s="46"/>
      <c r="C229" s="46"/>
      <c r="D229" s="47"/>
      <c r="E229" s="47"/>
      <c r="F229" s="44"/>
      <c r="G229" s="47"/>
      <c r="H229" s="48"/>
    </row>
    <row r="230" spans="1:8" x14ac:dyDescent="0.3">
      <c r="A230" s="45"/>
      <c r="B230" s="46"/>
      <c r="C230" s="46"/>
      <c r="D230" s="47"/>
      <c r="E230" s="47"/>
      <c r="F230" s="44"/>
      <c r="G230" s="47"/>
      <c r="H230" s="48"/>
    </row>
    <row r="231" spans="1:8" x14ac:dyDescent="0.3">
      <c r="A231" s="45"/>
      <c r="B231" s="46"/>
      <c r="C231" s="46"/>
      <c r="D231" s="47"/>
      <c r="E231" s="47"/>
      <c r="F231" s="44"/>
      <c r="G231" s="47"/>
      <c r="H231" s="48"/>
    </row>
    <row r="232" spans="1:8" x14ac:dyDescent="0.3">
      <c r="A232" s="45"/>
      <c r="B232" s="46"/>
      <c r="C232" s="46"/>
      <c r="D232" s="47"/>
      <c r="E232" s="47"/>
      <c r="F232" s="44"/>
      <c r="G232" s="47"/>
      <c r="H232" s="48"/>
    </row>
    <row r="233" spans="1:8" x14ac:dyDescent="0.3">
      <c r="A233" s="45"/>
      <c r="B233" s="46"/>
      <c r="C233" s="46"/>
      <c r="D233" s="47"/>
      <c r="E233" s="47"/>
      <c r="F233" s="44"/>
      <c r="G233" s="47"/>
      <c r="H233" s="48"/>
    </row>
    <row r="234" spans="1:8" x14ac:dyDescent="0.3">
      <c r="A234" s="45"/>
      <c r="B234" s="46"/>
      <c r="C234" s="46"/>
      <c r="D234" s="47"/>
      <c r="E234" s="47"/>
      <c r="F234" s="44"/>
      <c r="G234" s="47"/>
      <c r="H234" s="48"/>
    </row>
    <row r="235" spans="1:8" x14ac:dyDescent="0.3">
      <c r="A235" s="45"/>
      <c r="B235" s="46"/>
      <c r="C235" s="46"/>
      <c r="D235" s="47"/>
      <c r="E235" s="47"/>
      <c r="F235" s="44"/>
      <c r="G235" s="47"/>
      <c r="H235" s="48"/>
    </row>
    <row r="236" spans="1:8" x14ac:dyDescent="0.3">
      <c r="A236" s="45"/>
      <c r="B236" s="46"/>
      <c r="C236" s="46"/>
      <c r="D236" s="47"/>
      <c r="E236" s="47"/>
      <c r="F236" s="44"/>
      <c r="G236" s="47"/>
      <c r="H236" s="48"/>
    </row>
    <row r="237" spans="1:8" x14ac:dyDescent="0.3">
      <c r="A237" s="45"/>
      <c r="B237" s="46"/>
      <c r="C237" s="46"/>
      <c r="D237" s="47"/>
      <c r="E237" s="47"/>
      <c r="F237" s="44"/>
      <c r="G237" s="47"/>
      <c r="H237" s="48"/>
    </row>
    <row r="238" spans="1:8" x14ac:dyDescent="0.3">
      <c r="A238" s="45"/>
      <c r="B238" s="46"/>
      <c r="C238" s="46"/>
      <c r="D238" s="47"/>
      <c r="E238" s="47"/>
      <c r="F238" s="44"/>
      <c r="G238" s="47"/>
      <c r="H238" s="48"/>
    </row>
    <row r="239" spans="1:8" x14ac:dyDescent="0.3">
      <c r="A239" s="45"/>
      <c r="B239" s="46"/>
      <c r="C239" s="46"/>
      <c r="D239" s="47"/>
      <c r="E239" s="47"/>
      <c r="F239" s="44"/>
      <c r="G239" s="47"/>
      <c r="H239" s="48"/>
    </row>
    <row r="240" spans="1:8" x14ac:dyDescent="0.3">
      <c r="A240" s="45"/>
      <c r="B240" s="46"/>
      <c r="C240" s="46"/>
      <c r="D240" s="47"/>
      <c r="E240" s="47"/>
      <c r="F240" s="44"/>
      <c r="G240" s="47"/>
      <c r="H240" s="48"/>
    </row>
    <row r="241" spans="1:8" x14ac:dyDescent="0.3">
      <c r="A241" s="45"/>
      <c r="B241" s="46"/>
      <c r="C241" s="46"/>
      <c r="D241" s="47"/>
      <c r="E241" s="47"/>
      <c r="F241" s="44"/>
      <c r="G241" s="47"/>
      <c r="H241" s="48"/>
    </row>
    <row r="242" spans="1:8" x14ac:dyDescent="0.3">
      <c r="A242" s="45"/>
      <c r="B242" s="46"/>
      <c r="C242" s="46"/>
      <c r="D242" s="47"/>
      <c r="E242" s="47"/>
      <c r="F242" s="44"/>
      <c r="G242" s="47"/>
      <c r="H242" s="48"/>
    </row>
    <row r="243" spans="1:8" x14ac:dyDescent="0.3">
      <c r="A243" s="45"/>
      <c r="B243" s="46"/>
      <c r="C243" s="46"/>
      <c r="D243" s="47"/>
      <c r="E243" s="47"/>
      <c r="F243" s="44"/>
      <c r="G243" s="47"/>
      <c r="H243" s="48"/>
    </row>
    <row r="244" spans="1:8" x14ac:dyDescent="0.3">
      <c r="A244" s="45"/>
      <c r="B244" s="46"/>
      <c r="C244" s="46"/>
      <c r="D244" s="47"/>
      <c r="E244" s="47"/>
      <c r="F244" s="44"/>
      <c r="G244" s="47"/>
      <c r="H244" s="48"/>
    </row>
    <row r="245" spans="1:8" x14ac:dyDescent="0.3">
      <c r="A245" s="45"/>
      <c r="B245" s="46"/>
      <c r="C245" s="46"/>
      <c r="D245" s="47"/>
      <c r="E245" s="47"/>
      <c r="F245" s="44"/>
      <c r="G245" s="47"/>
      <c r="H245" s="48"/>
    </row>
    <row r="246" spans="1:8" x14ac:dyDescent="0.3">
      <c r="A246" s="45"/>
      <c r="B246" s="46"/>
      <c r="C246" s="46"/>
      <c r="D246" s="47"/>
      <c r="E246" s="47"/>
      <c r="F246" s="44"/>
      <c r="G246" s="47"/>
      <c r="H246" s="48"/>
    </row>
    <row r="247" spans="1:8" x14ac:dyDescent="0.3">
      <c r="A247" s="45"/>
      <c r="B247" s="46"/>
      <c r="C247" s="46"/>
      <c r="D247" s="47"/>
      <c r="E247" s="47"/>
      <c r="F247" s="44"/>
      <c r="G247" s="47"/>
      <c r="H247" s="48"/>
    </row>
    <row r="248" spans="1:8" x14ac:dyDescent="0.3">
      <c r="A248" s="45"/>
      <c r="B248" s="46"/>
      <c r="C248" s="46"/>
      <c r="D248" s="47"/>
      <c r="E248" s="47"/>
      <c r="F248" s="44"/>
      <c r="G248" s="47"/>
      <c r="H248" s="48"/>
    </row>
    <row r="249" spans="1:8" x14ac:dyDescent="0.3">
      <c r="A249" s="45"/>
      <c r="B249" s="46"/>
      <c r="C249" s="46"/>
      <c r="D249" s="47"/>
      <c r="E249" s="47"/>
      <c r="F249" s="44"/>
      <c r="G249" s="47"/>
      <c r="H249" s="48"/>
    </row>
    <row r="250" spans="1:8" x14ac:dyDescent="0.3">
      <c r="A250" s="45"/>
      <c r="B250" s="46"/>
      <c r="C250" s="46"/>
      <c r="D250" s="47"/>
      <c r="E250" s="47"/>
      <c r="F250" s="44"/>
      <c r="G250" s="47"/>
      <c r="H250" s="48"/>
    </row>
    <row r="251" spans="1:8" x14ac:dyDescent="0.3">
      <c r="A251" s="45"/>
      <c r="B251" s="46"/>
      <c r="C251" s="46"/>
      <c r="D251" s="47"/>
      <c r="E251" s="47"/>
      <c r="F251" s="44"/>
      <c r="G251" s="47"/>
      <c r="H251" s="48"/>
    </row>
    <row r="252" spans="1:8" x14ac:dyDescent="0.3">
      <c r="A252" s="45"/>
      <c r="B252" s="46"/>
      <c r="C252" s="46"/>
      <c r="D252" s="47"/>
      <c r="E252" s="47"/>
      <c r="F252" s="44"/>
      <c r="G252" s="47"/>
      <c r="H252" s="48"/>
    </row>
    <row r="253" spans="1:8" x14ac:dyDescent="0.3">
      <c r="A253" s="45"/>
      <c r="B253" s="46"/>
      <c r="C253" s="46"/>
      <c r="D253" s="47"/>
      <c r="E253" s="47"/>
      <c r="F253" s="44"/>
      <c r="G253" s="47"/>
      <c r="H253" s="48"/>
    </row>
    <row r="254" spans="1:8" x14ac:dyDescent="0.3">
      <c r="A254" s="45"/>
      <c r="B254" s="46"/>
      <c r="C254" s="46"/>
      <c r="D254" s="47"/>
      <c r="E254" s="47"/>
      <c r="F254" s="44"/>
      <c r="G254" s="47"/>
      <c r="H254" s="48"/>
    </row>
    <row r="255" spans="1:8" x14ac:dyDescent="0.3">
      <c r="A255" s="45"/>
      <c r="B255" s="46"/>
      <c r="C255" s="46"/>
      <c r="D255" s="47"/>
      <c r="E255" s="47"/>
      <c r="F255" s="44"/>
      <c r="G255" s="47"/>
      <c r="H255" s="48"/>
    </row>
    <row r="256" spans="1:8" x14ac:dyDescent="0.3">
      <c r="A256" s="45"/>
      <c r="B256" s="46"/>
      <c r="C256" s="46"/>
      <c r="D256" s="47"/>
      <c r="E256" s="47"/>
      <c r="F256" s="44"/>
      <c r="G256" s="47"/>
      <c r="H256" s="48"/>
    </row>
    <row r="257" spans="1:8" x14ac:dyDescent="0.3">
      <c r="A257" s="45"/>
      <c r="B257" s="46"/>
      <c r="C257" s="46"/>
      <c r="D257" s="47"/>
      <c r="E257" s="47"/>
      <c r="F257" s="44"/>
      <c r="G257" s="47"/>
      <c r="H257" s="48"/>
    </row>
    <row r="258" spans="1:8" x14ac:dyDescent="0.3">
      <c r="A258" s="45"/>
      <c r="B258" s="46"/>
      <c r="C258" s="46"/>
      <c r="D258" s="47"/>
      <c r="E258" s="47"/>
      <c r="F258" s="44"/>
      <c r="G258" s="47"/>
      <c r="H258" s="48"/>
    </row>
    <row r="259" spans="1:8" x14ac:dyDescent="0.3">
      <c r="A259" s="45"/>
      <c r="B259" s="46"/>
      <c r="C259" s="46"/>
      <c r="D259" s="47"/>
      <c r="E259" s="47"/>
      <c r="F259" s="44"/>
      <c r="G259" s="47"/>
      <c r="H259" s="48"/>
    </row>
    <row r="260" spans="1:8" x14ac:dyDescent="0.3">
      <c r="A260" s="45"/>
      <c r="B260" s="46"/>
      <c r="C260" s="46"/>
      <c r="D260" s="47"/>
      <c r="E260" s="47"/>
      <c r="F260" s="44"/>
      <c r="G260" s="47"/>
      <c r="H260" s="48"/>
    </row>
    <row r="261" spans="1:8" x14ac:dyDescent="0.3">
      <c r="A261" s="45"/>
      <c r="B261" s="46"/>
      <c r="C261" s="46"/>
      <c r="D261" s="47"/>
      <c r="E261" s="47"/>
      <c r="F261" s="44"/>
      <c r="G261" s="47"/>
      <c r="H261" s="48"/>
    </row>
    <row r="262" spans="1:8" x14ac:dyDescent="0.3">
      <c r="A262" s="45"/>
      <c r="B262" s="46"/>
      <c r="C262" s="46"/>
      <c r="D262" s="47"/>
      <c r="E262" s="47"/>
      <c r="F262" s="44"/>
      <c r="G262" s="47"/>
      <c r="H262" s="48"/>
    </row>
    <row r="263" spans="1:8" x14ac:dyDescent="0.3">
      <c r="A263" s="45"/>
      <c r="B263" s="46"/>
      <c r="C263" s="46"/>
      <c r="D263" s="47"/>
      <c r="E263" s="47"/>
      <c r="F263" s="44"/>
      <c r="G263" s="47"/>
      <c r="H263" s="48"/>
    </row>
    <row r="264" spans="1:8" x14ac:dyDescent="0.3">
      <c r="A264" s="45"/>
      <c r="B264" s="46"/>
      <c r="C264" s="46"/>
      <c r="D264" s="47"/>
      <c r="E264" s="47"/>
      <c r="F264" s="44"/>
      <c r="G264" s="47"/>
      <c r="H264" s="48"/>
    </row>
    <row r="265" spans="1:8" x14ac:dyDescent="0.3">
      <c r="A265" s="45"/>
      <c r="B265" s="46"/>
      <c r="C265" s="46"/>
      <c r="D265" s="47"/>
      <c r="E265" s="47"/>
      <c r="F265" s="44"/>
      <c r="G265" s="47"/>
      <c r="H265" s="48"/>
    </row>
    <row r="266" spans="1:8" x14ac:dyDescent="0.3">
      <c r="A266" s="45"/>
      <c r="B266" s="46"/>
      <c r="C266" s="46"/>
      <c r="D266" s="47"/>
      <c r="E266" s="47"/>
      <c r="F266" s="44"/>
      <c r="G266" s="47"/>
      <c r="H266" s="48"/>
    </row>
    <row r="267" spans="1:8" x14ac:dyDescent="0.3">
      <c r="A267" s="45"/>
      <c r="B267" s="46"/>
      <c r="C267" s="46"/>
      <c r="D267" s="47"/>
      <c r="E267" s="47"/>
      <c r="F267" s="44"/>
      <c r="G267" s="47"/>
      <c r="H267" s="48"/>
    </row>
    <row r="268" spans="1:8" x14ac:dyDescent="0.3">
      <c r="A268" s="45"/>
      <c r="B268" s="46"/>
      <c r="C268" s="46"/>
      <c r="D268" s="47"/>
      <c r="E268" s="47"/>
      <c r="F268" s="44"/>
      <c r="G268" s="47"/>
      <c r="H268" s="48"/>
    </row>
    <row r="269" spans="1:8" x14ac:dyDescent="0.3">
      <c r="A269" s="45"/>
      <c r="B269" s="46"/>
      <c r="C269" s="46"/>
      <c r="D269" s="47"/>
      <c r="E269" s="47"/>
      <c r="F269" s="44"/>
      <c r="G269" s="47"/>
      <c r="H269" s="48"/>
    </row>
    <row r="270" spans="1:8" x14ac:dyDescent="0.3">
      <c r="A270" s="45"/>
      <c r="B270" s="46"/>
      <c r="C270" s="46"/>
      <c r="D270" s="47"/>
      <c r="E270" s="47"/>
      <c r="F270" s="44"/>
      <c r="G270" s="47"/>
      <c r="H270" s="48"/>
    </row>
    <row r="271" spans="1:8" x14ac:dyDescent="0.3">
      <c r="A271" s="45"/>
      <c r="B271" s="46"/>
      <c r="C271" s="46"/>
      <c r="D271" s="47"/>
      <c r="E271" s="47"/>
      <c r="F271" s="44"/>
      <c r="G271" s="47"/>
      <c r="H271" s="48"/>
    </row>
    <row r="272" spans="1:8" x14ac:dyDescent="0.3">
      <c r="A272" s="45"/>
      <c r="B272" s="46"/>
      <c r="C272" s="46"/>
      <c r="D272" s="47"/>
      <c r="E272" s="47"/>
      <c r="F272" s="44"/>
      <c r="G272" s="47"/>
      <c r="H272" s="48"/>
    </row>
    <row r="273" spans="1:8" x14ac:dyDescent="0.3">
      <c r="A273" s="45"/>
      <c r="B273" s="46"/>
      <c r="C273" s="46"/>
      <c r="D273" s="47"/>
      <c r="E273" s="47"/>
      <c r="F273" s="44"/>
      <c r="G273" s="47"/>
      <c r="H273" s="48"/>
    </row>
    <row r="274" spans="1:8" x14ac:dyDescent="0.3">
      <c r="A274" s="45"/>
      <c r="B274" s="46"/>
      <c r="C274" s="46"/>
      <c r="D274" s="47"/>
      <c r="E274" s="47"/>
      <c r="F274" s="44"/>
      <c r="G274" s="47"/>
      <c r="H274" s="48"/>
    </row>
    <row r="275" spans="1:8" x14ac:dyDescent="0.3">
      <c r="A275" s="45"/>
      <c r="B275" s="46"/>
      <c r="C275" s="46"/>
      <c r="D275" s="47"/>
      <c r="E275" s="47"/>
      <c r="F275" s="44"/>
      <c r="G275" s="47"/>
      <c r="H275" s="48"/>
    </row>
    <row r="276" spans="1:8" x14ac:dyDescent="0.3">
      <c r="A276" s="45"/>
      <c r="B276" s="46"/>
      <c r="C276" s="46"/>
      <c r="D276" s="47"/>
      <c r="E276" s="47"/>
      <c r="F276" s="44"/>
      <c r="G276" s="47"/>
      <c r="H276" s="48"/>
    </row>
    <row r="277" spans="1:8" x14ac:dyDescent="0.3">
      <c r="A277" s="45"/>
      <c r="B277" s="46"/>
      <c r="C277" s="46"/>
      <c r="D277" s="47"/>
      <c r="E277" s="47"/>
      <c r="F277" s="44"/>
      <c r="G277" s="47"/>
      <c r="H277" s="48"/>
    </row>
    <row r="278" spans="1:8" x14ac:dyDescent="0.3">
      <c r="A278" s="45"/>
      <c r="B278" s="46"/>
      <c r="C278" s="46"/>
      <c r="D278" s="47"/>
      <c r="E278" s="47"/>
      <c r="F278" s="44"/>
      <c r="G278" s="47"/>
      <c r="H278" s="48"/>
    </row>
    <row r="279" spans="1:8" x14ac:dyDescent="0.3">
      <c r="A279" s="45"/>
      <c r="B279" s="46"/>
      <c r="C279" s="46"/>
      <c r="D279" s="47"/>
      <c r="E279" s="47"/>
      <c r="F279" s="44"/>
      <c r="G279" s="47"/>
      <c r="H279" s="48"/>
    </row>
    <row r="280" spans="1:8" x14ac:dyDescent="0.3">
      <c r="A280" s="45"/>
      <c r="B280" s="46"/>
      <c r="C280" s="46"/>
      <c r="D280" s="47"/>
      <c r="E280" s="47"/>
      <c r="F280" s="44"/>
      <c r="G280" s="47"/>
      <c r="H280" s="48"/>
    </row>
    <row r="281" spans="1:8" x14ac:dyDescent="0.3">
      <c r="A281" s="45"/>
      <c r="B281" s="46"/>
      <c r="C281" s="46"/>
      <c r="D281" s="47"/>
      <c r="E281" s="47"/>
      <c r="F281" s="44"/>
      <c r="G281" s="47"/>
      <c r="H281" s="48"/>
    </row>
    <row r="282" spans="1:8" x14ac:dyDescent="0.3">
      <c r="A282" s="45"/>
      <c r="B282" s="46"/>
      <c r="C282" s="46"/>
      <c r="D282" s="47"/>
      <c r="E282" s="47"/>
      <c r="F282" s="44"/>
      <c r="G282" s="47"/>
      <c r="H282" s="48"/>
    </row>
    <row r="283" spans="1:8" x14ac:dyDescent="0.3">
      <c r="A283" s="45"/>
      <c r="B283" s="46"/>
      <c r="C283" s="46"/>
      <c r="D283" s="47"/>
      <c r="E283" s="47"/>
      <c r="F283" s="44"/>
      <c r="G283" s="47"/>
      <c r="H283" s="48"/>
    </row>
    <row r="284" spans="1:8" x14ac:dyDescent="0.3">
      <c r="A284" s="45"/>
      <c r="B284" s="46"/>
      <c r="C284" s="46"/>
      <c r="D284" s="47"/>
      <c r="E284" s="47"/>
      <c r="F284" s="44"/>
      <c r="G284" s="47"/>
      <c r="H284" s="48"/>
    </row>
    <row r="285" spans="1:8" x14ac:dyDescent="0.3">
      <c r="A285" s="45"/>
      <c r="B285" s="46"/>
      <c r="C285" s="46"/>
      <c r="D285" s="47"/>
      <c r="E285" s="47"/>
      <c r="F285" s="44"/>
      <c r="G285" s="47"/>
      <c r="H285" s="48"/>
    </row>
    <row r="286" spans="1:8" x14ac:dyDescent="0.3">
      <c r="A286" s="45"/>
      <c r="B286" s="46"/>
      <c r="C286" s="46"/>
      <c r="D286" s="47"/>
      <c r="E286" s="47"/>
      <c r="F286" s="44"/>
      <c r="G286" s="47"/>
      <c r="H286" s="48"/>
    </row>
    <row r="287" spans="1:8" x14ac:dyDescent="0.3">
      <c r="A287" s="45"/>
      <c r="B287" s="46"/>
      <c r="C287" s="46"/>
      <c r="D287" s="47"/>
      <c r="E287" s="47"/>
      <c r="F287" s="44"/>
      <c r="G287" s="47"/>
      <c r="H287" s="48"/>
    </row>
    <row r="288" spans="1:8" x14ac:dyDescent="0.3">
      <c r="A288" s="45"/>
      <c r="B288" s="46"/>
      <c r="C288" s="46"/>
      <c r="D288" s="47"/>
      <c r="E288" s="47"/>
      <c r="F288" s="44"/>
      <c r="G288" s="47"/>
      <c r="H288" s="48"/>
    </row>
    <row r="289" spans="1:8" x14ac:dyDescent="0.3">
      <c r="A289" s="45"/>
      <c r="B289" s="46"/>
      <c r="C289" s="46"/>
      <c r="D289" s="47"/>
      <c r="E289" s="47"/>
      <c r="F289" s="44"/>
      <c r="G289" s="47"/>
      <c r="H289" s="48"/>
    </row>
    <row r="290" spans="1:8" x14ac:dyDescent="0.3">
      <c r="A290" s="45"/>
      <c r="B290" s="46"/>
      <c r="C290" s="46"/>
      <c r="D290" s="47"/>
      <c r="E290" s="47"/>
      <c r="F290" s="44"/>
      <c r="G290" s="47"/>
      <c r="H290" s="48"/>
    </row>
    <row r="291" spans="1:8" x14ac:dyDescent="0.3">
      <c r="A291" s="45"/>
      <c r="B291" s="46"/>
      <c r="C291" s="46"/>
      <c r="D291" s="47"/>
      <c r="E291" s="47"/>
      <c r="F291" s="44"/>
      <c r="G291" s="47"/>
      <c r="H291" s="48"/>
    </row>
    <row r="292" spans="1:8" x14ac:dyDescent="0.3">
      <c r="A292" s="45"/>
      <c r="B292" s="46"/>
      <c r="C292" s="46"/>
      <c r="D292" s="47"/>
      <c r="E292" s="47"/>
      <c r="F292" s="44"/>
      <c r="G292" s="47"/>
      <c r="H292" s="48"/>
    </row>
    <row r="293" spans="1:8" x14ac:dyDescent="0.3">
      <c r="A293" s="45"/>
      <c r="B293" s="46"/>
      <c r="C293" s="46"/>
      <c r="D293" s="47"/>
      <c r="E293" s="47"/>
      <c r="F293" s="44"/>
      <c r="G293" s="47"/>
      <c r="H293" s="48"/>
    </row>
    <row r="294" spans="1:8" x14ac:dyDescent="0.3">
      <c r="A294" s="45"/>
      <c r="B294" s="46"/>
      <c r="C294" s="46"/>
      <c r="D294" s="47"/>
      <c r="E294" s="47"/>
      <c r="F294" s="44"/>
      <c r="G294" s="47"/>
      <c r="H294" s="48"/>
    </row>
    <row r="295" spans="1:8" x14ac:dyDescent="0.3">
      <c r="A295" s="45"/>
      <c r="B295" s="46"/>
      <c r="C295" s="46"/>
      <c r="D295" s="47"/>
      <c r="E295" s="47"/>
      <c r="F295" s="44"/>
      <c r="G295" s="47"/>
      <c r="H295" s="48"/>
    </row>
    <row r="296" spans="1:8" x14ac:dyDescent="0.3">
      <c r="A296" s="45"/>
      <c r="B296" s="46"/>
      <c r="C296" s="46"/>
      <c r="D296" s="47"/>
      <c r="E296" s="47"/>
      <c r="F296" s="44"/>
      <c r="G296" s="47"/>
      <c r="H296" s="48"/>
    </row>
    <row r="297" spans="1:8" x14ac:dyDescent="0.3">
      <c r="A297" s="45"/>
      <c r="B297" s="46"/>
      <c r="C297" s="46"/>
      <c r="D297" s="47"/>
      <c r="E297" s="47"/>
      <c r="F297" s="44"/>
      <c r="G297" s="47"/>
      <c r="H297" s="48"/>
    </row>
    <row r="298" spans="1:8" x14ac:dyDescent="0.3">
      <c r="A298" s="45"/>
      <c r="B298" s="46"/>
      <c r="C298" s="46"/>
      <c r="D298" s="47"/>
      <c r="E298" s="47"/>
      <c r="F298" s="44"/>
      <c r="G298" s="47"/>
      <c r="H298" s="48"/>
    </row>
    <row r="299" spans="1:8" x14ac:dyDescent="0.3">
      <c r="A299" s="45"/>
      <c r="B299" s="46"/>
      <c r="C299" s="46"/>
      <c r="D299" s="47"/>
      <c r="E299" s="47"/>
      <c r="F299" s="44"/>
      <c r="G299" s="47"/>
      <c r="H299" s="48"/>
    </row>
    <row r="300" spans="1:8" x14ac:dyDescent="0.3">
      <c r="A300" s="45"/>
      <c r="B300" s="46"/>
      <c r="C300" s="46"/>
      <c r="D300" s="47"/>
      <c r="E300" s="47"/>
      <c r="F300" s="44"/>
      <c r="G300" s="47"/>
      <c r="H300" s="48"/>
    </row>
    <row r="301" spans="1:8" x14ac:dyDescent="0.3">
      <c r="A301" s="45"/>
      <c r="B301" s="46"/>
      <c r="C301" s="46"/>
      <c r="D301" s="47"/>
      <c r="E301" s="47"/>
      <c r="F301" s="44"/>
      <c r="G301" s="47"/>
      <c r="H301" s="48"/>
    </row>
    <row r="302" spans="1:8" x14ac:dyDescent="0.3">
      <c r="A302" s="45"/>
      <c r="B302" s="46"/>
      <c r="C302" s="46"/>
      <c r="D302" s="47"/>
      <c r="E302" s="47"/>
      <c r="F302" s="44"/>
      <c r="G302" s="47"/>
      <c r="H302" s="48"/>
    </row>
    <row r="303" spans="1:8" x14ac:dyDescent="0.3">
      <c r="A303" s="45"/>
      <c r="B303" s="46"/>
      <c r="C303" s="46"/>
      <c r="D303" s="47"/>
      <c r="E303" s="47"/>
      <c r="F303" s="44"/>
      <c r="G303" s="47"/>
      <c r="H303" s="48"/>
    </row>
    <row r="304" spans="1:8" x14ac:dyDescent="0.3">
      <c r="A304" s="45"/>
      <c r="B304" s="46"/>
      <c r="C304" s="46"/>
      <c r="D304" s="47"/>
      <c r="E304" s="47"/>
      <c r="F304" s="44"/>
      <c r="G304" s="47"/>
      <c r="H304" s="48"/>
    </row>
    <row r="305" spans="1:8" x14ac:dyDescent="0.3">
      <c r="A305" s="45"/>
      <c r="B305" s="46"/>
      <c r="C305" s="46"/>
      <c r="D305" s="47"/>
      <c r="E305" s="47"/>
      <c r="F305" s="44"/>
      <c r="G305" s="47"/>
      <c r="H305" s="48"/>
    </row>
    <row r="306" spans="1:8" x14ac:dyDescent="0.3">
      <c r="A306" s="45"/>
      <c r="B306" s="46"/>
      <c r="C306" s="46"/>
      <c r="D306" s="47"/>
      <c r="E306" s="47"/>
      <c r="F306" s="44"/>
      <c r="G306" s="47"/>
      <c r="H306" s="48"/>
    </row>
    <row r="307" spans="1:8" x14ac:dyDescent="0.3">
      <c r="A307" s="45"/>
      <c r="B307" s="46"/>
      <c r="C307" s="46"/>
      <c r="D307" s="47"/>
      <c r="E307" s="47"/>
      <c r="F307" s="44"/>
      <c r="G307" s="47"/>
      <c r="H307" s="48"/>
    </row>
    <row r="308" spans="1:8" x14ac:dyDescent="0.3">
      <c r="A308" s="45"/>
      <c r="B308" s="46"/>
      <c r="C308" s="46"/>
      <c r="D308" s="47"/>
      <c r="E308" s="47"/>
      <c r="F308" s="44"/>
      <c r="G308" s="47"/>
      <c r="H308" s="48"/>
    </row>
    <row r="309" spans="1:8" x14ac:dyDescent="0.3">
      <c r="A309" s="45"/>
      <c r="B309" s="46"/>
      <c r="C309" s="46"/>
      <c r="D309" s="47"/>
      <c r="E309" s="47"/>
      <c r="F309" s="44"/>
      <c r="G309" s="47"/>
      <c r="H309" s="48"/>
    </row>
    <row r="310" spans="1:8" x14ac:dyDescent="0.3">
      <c r="A310" s="45"/>
      <c r="B310" s="46"/>
      <c r="C310" s="46"/>
      <c r="D310" s="47"/>
      <c r="E310" s="47"/>
      <c r="F310" s="44"/>
      <c r="G310" s="47"/>
      <c r="H310" s="48"/>
    </row>
    <row r="311" spans="1:8" x14ac:dyDescent="0.3">
      <c r="A311" s="45"/>
      <c r="B311" s="46"/>
      <c r="C311" s="46"/>
      <c r="D311" s="47"/>
      <c r="E311" s="47"/>
      <c r="F311" s="44"/>
      <c r="G311" s="47"/>
      <c r="H311" s="48"/>
    </row>
    <row r="312" spans="1:8" x14ac:dyDescent="0.3">
      <c r="A312" s="45"/>
      <c r="B312" s="46"/>
      <c r="C312" s="46"/>
      <c r="D312" s="47"/>
      <c r="E312" s="47"/>
      <c r="F312" s="44"/>
      <c r="G312" s="47"/>
      <c r="H312" s="48"/>
    </row>
    <row r="313" spans="1:8" x14ac:dyDescent="0.3">
      <c r="A313" s="45"/>
      <c r="B313" s="46"/>
      <c r="C313" s="46"/>
      <c r="D313" s="47"/>
      <c r="E313" s="47"/>
      <c r="F313" s="44"/>
      <c r="G313" s="47"/>
      <c r="H313" s="48"/>
    </row>
    <row r="314" spans="1:8" x14ac:dyDescent="0.3">
      <c r="A314" s="45"/>
      <c r="B314" s="46"/>
      <c r="C314" s="46"/>
      <c r="D314" s="47"/>
      <c r="E314" s="47"/>
      <c r="F314" s="44"/>
      <c r="G314" s="47"/>
      <c r="H314" s="48"/>
    </row>
    <row r="315" spans="1:8" x14ac:dyDescent="0.3">
      <c r="A315" s="45"/>
      <c r="B315" s="46"/>
      <c r="C315" s="46"/>
      <c r="D315" s="47"/>
      <c r="E315" s="47"/>
      <c r="F315" s="44"/>
      <c r="G315" s="47"/>
      <c r="H315" s="48"/>
    </row>
    <row r="316" spans="1:8" x14ac:dyDescent="0.3">
      <c r="A316" s="45"/>
      <c r="B316" s="46"/>
      <c r="C316" s="46"/>
      <c r="D316" s="47"/>
      <c r="E316" s="47"/>
      <c r="F316" s="44"/>
      <c r="G316" s="47"/>
      <c r="H316" s="48"/>
    </row>
    <row r="317" spans="1:8" x14ac:dyDescent="0.3">
      <c r="A317" s="45"/>
      <c r="B317" s="46"/>
      <c r="C317" s="46"/>
      <c r="D317" s="47"/>
      <c r="E317" s="47"/>
      <c r="F317" s="44"/>
      <c r="G317" s="47"/>
      <c r="H317" s="48"/>
    </row>
    <row r="318" spans="1:8" x14ac:dyDescent="0.3">
      <c r="A318" s="45"/>
      <c r="B318" s="46"/>
      <c r="C318" s="46"/>
      <c r="D318" s="47"/>
      <c r="E318" s="47"/>
      <c r="F318" s="44"/>
      <c r="G318" s="47"/>
      <c r="H318" s="48"/>
    </row>
    <row r="319" spans="1:8" x14ac:dyDescent="0.3">
      <c r="A319" s="45"/>
      <c r="B319" s="46"/>
      <c r="C319" s="46"/>
      <c r="D319" s="47"/>
      <c r="E319" s="47"/>
      <c r="F319" s="44"/>
      <c r="G319" s="47"/>
      <c r="H319" s="48"/>
    </row>
    <row r="320" spans="1:8" x14ac:dyDescent="0.3">
      <c r="A320" s="45"/>
      <c r="B320" s="46"/>
      <c r="C320" s="46"/>
      <c r="D320" s="47"/>
      <c r="E320" s="47"/>
      <c r="F320" s="44"/>
      <c r="G320" s="47"/>
      <c r="H320" s="48"/>
    </row>
    <row r="321" spans="1:8" x14ac:dyDescent="0.3">
      <c r="A321" s="45"/>
      <c r="B321" s="46"/>
      <c r="C321" s="46"/>
      <c r="D321" s="47"/>
      <c r="E321" s="47"/>
      <c r="F321" s="44"/>
      <c r="G321" s="47"/>
      <c r="H321" s="48"/>
    </row>
    <row r="322" spans="1:8" x14ac:dyDescent="0.3">
      <c r="A322" s="45"/>
      <c r="B322" s="46"/>
      <c r="C322" s="46"/>
      <c r="D322" s="47"/>
      <c r="E322" s="47"/>
      <c r="F322" s="44"/>
      <c r="G322" s="47"/>
      <c r="H322" s="48"/>
    </row>
    <row r="323" spans="1:8" x14ac:dyDescent="0.3">
      <c r="A323" s="45"/>
      <c r="B323" s="46"/>
      <c r="C323" s="46"/>
      <c r="D323" s="47"/>
      <c r="E323" s="47"/>
      <c r="F323" s="44"/>
      <c r="G323" s="47"/>
      <c r="H323" s="48"/>
    </row>
    <row r="324" spans="1:8" x14ac:dyDescent="0.3">
      <c r="A324" s="45"/>
      <c r="B324" s="46"/>
      <c r="C324" s="46"/>
      <c r="D324" s="47"/>
      <c r="E324" s="47"/>
      <c r="F324" s="44"/>
      <c r="G324" s="47"/>
      <c r="H324" s="48"/>
    </row>
    <row r="325" spans="1:8" x14ac:dyDescent="0.3">
      <c r="A325" s="45"/>
      <c r="B325" s="46"/>
      <c r="C325" s="46"/>
      <c r="D325" s="47"/>
      <c r="E325" s="47"/>
      <c r="F325" s="44"/>
      <c r="G325" s="47"/>
      <c r="H325" s="48"/>
    </row>
    <row r="326" spans="1:8" x14ac:dyDescent="0.3">
      <c r="A326" s="45"/>
      <c r="B326" s="46"/>
      <c r="C326" s="46"/>
      <c r="D326" s="47"/>
      <c r="E326" s="47"/>
      <c r="F326" s="44"/>
      <c r="G326" s="47"/>
      <c r="H326" s="48"/>
    </row>
    <row r="327" spans="1:8" x14ac:dyDescent="0.3">
      <c r="A327" s="45"/>
      <c r="B327" s="46"/>
      <c r="C327" s="46"/>
      <c r="D327" s="47"/>
      <c r="E327" s="47"/>
      <c r="F327" s="44"/>
      <c r="G327" s="47"/>
      <c r="H327" s="48"/>
    </row>
    <row r="328" spans="1:8" x14ac:dyDescent="0.3">
      <c r="A328" s="45"/>
      <c r="B328" s="46"/>
      <c r="C328" s="46"/>
      <c r="D328" s="47"/>
      <c r="E328" s="47"/>
      <c r="F328" s="44"/>
      <c r="G328" s="47"/>
      <c r="H328" s="48"/>
    </row>
    <row r="329" spans="1:8" x14ac:dyDescent="0.3">
      <c r="A329" s="45"/>
      <c r="B329" s="46"/>
      <c r="C329" s="46"/>
      <c r="D329" s="47"/>
      <c r="E329" s="47"/>
      <c r="F329" s="44"/>
      <c r="G329" s="47"/>
      <c r="H329" s="48"/>
    </row>
    <row r="330" spans="1:8" x14ac:dyDescent="0.3">
      <c r="A330" s="45"/>
      <c r="B330" s="46"/>
      <c r="C330" s="46"/>
      <c r="D330" s="47"/>
      <c r="E330" s="47"/>
      <c r="F330" s="44"/>
      <c r="G330" s="47"/>
      <c r="H330" s="48"/>
    </row>
    <row r="331" spans="1:8" x14ac:dyDescent="0.3">
      <c r="A331" s="45"/>
      <c r="B331" s="46"/>
      <c r="C331" s="46"/>
      <c r="D331" s="47"/>
      <c r="E331" s="47"/>
      <c r="F331" s="44"/>
      <c r="G331" s="47"/>
      <c r="H331" s="48"/>
    </row>
    <row r="332" spans="1:8" x14ac:dyDescent="0.3">
      <c r="A332" s="45"/>
      <c r="B332" s="46"/>
      <c r="C332" s="46"/>
      <c r="D332" s="47"/>
      <c r="E332" s="47"/>
      <c r="F332" s="44"/>
      <c r="G332" s="47"/>
      <c r="H332" s="48"/>
    </row>
    <row r="333" spans="1:8" x14ac:dyDescent="0.3">
      <c r="A333" s="45"/>
      <c r="B333" s="46"/>
      <c r="C333" s="46"/>
      <c r="D333" s="47"/>
      <c r="E333" s="47"/>
      <c r="F333" s="44"/>
      <c r="G333" s="47"/>
      <c r="H333" s="48"/>
    </row>
    <row r="334" spans="1:8" x14ac:dyDescent="0.3">
      <c r="A334" s="45"/>
      <c r="B334" s="46"/>
      <c r="C334" s="46"/>
      <c r="D334" s="47"/>
      <c r="E334" s="47"/>
      <c r="F334" s="44"/>
      <c r="G334" s="47"/>
      <c r="H334" s="48"/>
    </row>
    <row r="335" spans="1:8" x14ac:dyDescent="0.3">
      <c r="A335" s="45"/>
      <c r="B335" s="46"/>
      <c r="C335" s="46"/>
      <c r="D335" s="47"/>
      <c r="E335" s="47"/>
      <c r="F335" s="44"/>
      <c r="G335" s="47"/>
      <c r="H335" s="48"/>
    </row>
    <row r="336" spans="1:8" x14ac:dyDescent="0.3">
      <c r="A336" s="45"/>
      <c r="B336" s="46"/>
      <c r="C336" s="46"/>
      <c r="D336" s="47"/>
      <c r="E336" s="47"/>
      <c r="F336" s="44"/>
      <c r="G336" s="47"/>
      <c r="H336" s="48"/>
    </row>
    <row r="337" spans="1:8" x14ac:dyDescent="0.3">
      <c r="A337" s="45"/>
      <c r="B337" s="46"/>
      <c r="C337" s="46"/>
      <c r="D337" s="47"/>
      <c r="E337" s="47"/>
      <c r="F337" s="44"/>
      <c r="G337" s="47"/>
      <c r="H337" s="48"/>
    </row>
    <row r="338" spans="1:8" x14ac:dyDescent="0.3">
      <c r="A338" s="45"/>
      <c r="B338" s="46"/>
      <c r="C338" s="46"/>
      <c r="D338" s="47"/>
      <c r="E338" s="47"/>
      <c r="F338" s="44"/>
      <c r="G338" s="47"/>
      <c r="H338" s="48"/>
    </row>
    <row r="339" spans="1:8" x14ac:dyDescent="0.3">
      <c r="A339" s="45"/>
      <c r="B339" s="46"/>
      <c r="C339" s="46"/>
      <c r="D339" s="47"/>
      <c r="E339" s="47"/>
      <c r="F339" s="44"/>
      <c r="G339" s="47"/>
      <c r="H339" s="48"/>
    </row>
    <row r="340" spans="1:8" x14ac:dyDescent="0.3">
      <c r="A340" s="45"/>
      <c r="B340" s="46"/>
      <c r="C340" s="46"/>
      <c r="D340" s="47"/>
      <c r="E340" s="47"/>
      <c r="F340" s="44"/>
      <c r="G340" s="47"/>
      <c r="H340" s="48"/>
    </row>
    <row r="341" spans="1:8" x14ac:dyDescent="0.3">
      <c r="A341" s="45"/>
      <c r="B341" s="46"/>
      <c r="C341" s="46"/>
      <c r="D341" s="47"/>
      <c r="E341" s="47"/>
      <c r="F341" s="44"/>
      <c r="G341" s="47"/>
      <c r="H341" s="48"/>
    </row>
    <row r="342" spans="1:8" x14ac:dyDescent="0.3">
      <c r="A342" s="45"/>
      <c r="B342" s="46"/>
      <c r="C342" s="46"/>
      <c r="D342" s="47"/>
      <c r="E342" s="47"/>
      <c r="F342" s="44"/>
      <c r="G342" s="47"/>
      <c r="H342" s="48"/>
    </row>
    <row r="343" spans="1:8" x14ac:dyDescent="0.3">
      <c r="A343" s="45"/>
      <c r="B343" s="46"/>
      <c r="C343" s="46"/>
      <c r="D343" s="47"/>
      <c r="E343" s="47"/>
      <c r="F343" s="44"/>
      <c r="G343" s="47"/>
      <c r="H343" s="48"/>
    </row>
    <row r="344" spans="1:8" x14ac:dyDescent="0.3">
      <c r="A344" s="45"/>
      <c r="B344" s="46"/>
      <c r="C344" s="46"/>
      <c r="D344" s="47"/>
      <c r="E344" s="47"/>
      <c r="F344" s="44"/>
      <c r="G344" s="47"/>
      <c r="H344" s="48"/>
    </row>
    <row r="345" spans="1:8" x14ac:dyDescent="0.3">
      <c r="A345" s="45"/>
      <c r="B345" s="46"/>
      <c r="C345" s="46"/>
      <c r="D345" s="47"/>
      <c r="E345" s="47"/>
      <c r="F345" s="44"/>
      <c r="G345" s="47"/>
      <c r="H345" s="48"/>
    </row>
    <row r="346" spans="1:8" x14ac:dyDescent="0.3">
      <c r="A346"/>
      <c r="B346"/>
      <c r="C346"/>
      <c r="D346"/>
      <c r="E346"/>
      <c r="F346"/>
      <c r="G346"/>
      <c r="H346"/>
    </row>
    <row r="347" spans="1:8" x14ac:dyDescent="0.3">
      <c r="A347"/>
      <c r="B347"/>
      <c r="C347"/>
      <c r="D347"/>
      <c r="E347"/>
      <c r="F347"/>
      <c r="G347"/>
      <c r="H347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C326"/>
  <sheetViews>
    <sheetView tabSelected="1" workbookViewId="0">
      <selection activeCell="E4" sqref="E4"/>
    </sheetView>
  </sheetViews>
  <sheetFormatPr defaultRowHeight="14.4" x14ac:dyDescent="0.3"/>
  <cols>
    <col min="1" max="1" width="17.6640625" style="2" bestFit="1" customWidth="1"/>
    <col min="2" max="2" width="32.44140625" customWidth="1"/>
    <col min="3" max="3" width="12.33203125" customWidth="1"/>
    <col min="4" max="4" width="13.6640625" customWidth="1"/>
    <col min="5" max="5" width="10.6640625" bestFit="1" customWidth="1"/>
  </cols>
  <sheetData>
    <row r="1" spans="1:3" x14ac:dyDescent="0.3">
      <c r="A1" t="s">
        <v>0</v>
      </c>
      <c r="B1" t="s">
        <v>1</v>
      </c>
      <c r="C1" t="s">
        <v>316</v>
      </c>
    </row>
    <row r="2" spans="1:3" x14ac:dyDescent="0.3">
      <c r="A2" s="2">
        <v>2021000001</v>
      </c>
      <c r="B2" t="s">
        <v>19</v>
      </c>
      <c r="C2">
        <v>4</v>
      </c>
    </row>
    <row r="3" spans="1:3" x14ac:dyDescent="0.3">
      <c r="A3" s="2">
        <v>2021000002</v>
      </c>
      <c r="B3" t="s">
        <v>29</v>
      </c>
      <c r="C3">
        <v>2</v>
      </c>
    </row>
    <row r="4" spans="1:3" x14ac:dyDescent="0.3">
      <c r="A4" s="2">
        <v>2021000003</v>
      </c>
      <c r="B4" t="s">
        <v>20</v>
      </c>
      <c r="C4">
        <v>1</v>
      </c>
    </row>
    <row r="5" spans="1:3" x14ac:dyDescent="0.3">
      <c r="A5" s="2">
        <v>2021000004</v>
      </c>
      <c r="B5" t="s">
        <v>30</v>
      </c>
      <c r="C5">
        <v>2</v>
      </c>
    </row>
    <row r="6" spans="1:3" x14ac:dyDescent="0.3">
      <c r="A6" s="2">
        <v>2021000005</v>
      </c>
      <c r="B6" t="s">
        <v>310</v>
      </c>
      <c r="C6">
        <v>5</v>
      </c>
    </row>
    <row r="7" spans="1:3" x14ac:dyDescent="0.3">
      <c r="A7" s="2">
        <v>2021000006</v>
      </c>
      <c r="B7" t="s">
        <v>311</v>
      </c>
      <c r="C7">
        <v>8</v>
      </c>
    </row>
    <row r="8" spans="1:3" x14ac:dyDescent="0.3">
      <c r="A8" s="2">
        <v>2021000007</v>
      </c>
      <c r="B8" t="s">
        <v>21</v>
      </c>
      <c r="C8">
        <v>2</v>
      </c>
    </row>
    <row r="9" spans="1:3" x14ac:dyDescent="0.3">
      <c r="A9" s="2">
        <v>2021000008</v>
      </c>
      <c r="B9" t="s">
        <v>22</v>
      </c>
      <c r="C9">
        <v>0</v>
      </c>
    </row>
    <row r="10" spans="1:3" x14ac:dyDescent="0.3">
      <c r="A10" s="2">
        <v>2021000009</v>
      </c>
      <c r="B10" t="s">
        <v>249</v>
      </c>
      <c r="C10">
        <v>2</v>
      </c>
    </row>
    <row r="11" spans="1:3" x14ac:dyDescent="0.3">
      <c r="A11" s="2">
        <v>2021000010</v>
      </c>
      <c r="B11" t="s">
        <v>24</v>
      </c>
      <c r="C11">
        <v>14</v>
      </c>
    </row>
    <row r="12" spans="1:3" x14ac:dyDescent="0.3">
      <c r="A12" s="2">
        <v>2021000011</v>
      </c>
      <c r="B12" t="s">
        <v>27</v>
      </c>
      <c r="C12">
        <v>6</v>
      </c>
    </row>
    <row r="13" spans="1:3" x14ac:dyDescent="0.3">
      <c r="A13" s="2">
        <v>2021000012</v>
      </c>
      <c r="B13" t="s">
        <v>28</v>
      </c>
      <c r="C13">
        <v>4</v>
      </c>
    </row>
    <row r="14" spans="1:3" x14ac:dyDescent="0.3">
      <c r="A14" s="2">
        <v>2021000013</v>
      </c>
      <c r="B14" t="s">
        <v>31</v>
      </c>
      <c r="C14">
        <v>8</v>
      </c>
    </row>
    <row r="15" spans="1:3" x14ac:dyDescent="0.3">
      <c r="A15" s="2">
        <v>2021000014</v>
      </c>
      <c r="B15" t="s">
        <v>32</v>
      </c>
      <c r="C15">
        <v>9</v>
      </c>
    </row>
    <row r="16" spans="1:3" x14ac:dyDescent="0.3">
      <c r="A16" s="2">
        <v>2021000015</v>
      </c>
      <c r="B16" t="s">
        <v>33</v>
      </c>
      <c r="C16">
        <v>15</v>
      </c>
    </row>
    <row r="17" spans="1:3" x14ac:dyDescent="0.3">
      <c r="A17" s="2">
        <v>2021000016</v>
      </c>
      <c r="B17" t="s">
        <v>34</v>
      </c>
      <c r="C17">
        <v>2</v>
      </c>
    </row>
    <row r="18" spans="1:3" x14ac:dyDescent="0.3">
      <c r="A18" s="2">
        <v>2021000017</v>
      </c>
      <c r="B18" t="s">
        <v>35</v>
      </c>
      <c r="C18">
        <v>2</v>
      </c>
    </row>
    <row r="19" spans="1:3" x14ac:dyDescent="0.3">
      <c r="A19" s="2">
        <v>2021000018</v>
      </c>
      <c r="B19" t="s">
        <v>36</v>
      </c>
      <c r="C19">
        <v>0</v>
      </c>
    </row>
    <row r="20" spans="1:3" x14ac:dyDescent="0.3">
      <c r="A20" s="2">
        <v>2021000019</v>
      </c>
      <c r="B20" t="s">
        <v>37</v>
      </c>
      <c r="C20">
        <v>4</v>
      </c>
    </row>
    <row r="21" spans="1:3" x14ac:dyDescent="0.3">
      <c r="A21" s="2">
        <v>2021000020</v>
      </c>
      <c r="B21" t="s">
        <v>38</v>
      </c>
      <c r="C21">
        <v>10</v>
      </c>
    </row>
    <row r="22" spans="1:3" x14ac:dyDescent="0.3">
      <c r="A22" s="2">
        <v>2021000021</v>
      </c>
      <c r="B22" t="s">
        <v>39</v>
      </c>
      <c r="C22">
        <v>7</v>
      </c>
    </row>
    <row r="23" spans="1:3" x14ac:dyDescent="0.3">
      <c r="A23" s="2">
        <v>2021000022</v>
      </c>
      <c r="B23" t="s">
        <v>40</v>
      </c>
      <c r="C23">
        <v>6</v>
      </c>
    </row>
    <row r="24" spans="1:3" x14ac:dyDescent="0.3">
      <c r="A24" s="2">
        <v>2021000023</v>
      </c>
      <c r="B24" t="s">
        <v>41</v>
      </c>
      <c r="C24">
        <v>0</v>
      </c>
    </row>
    <row r="25" spans="1:3" x14ac:dyDescent="0.3">
      <c r="A25" s="2">
        <v>2021000024</v>
      </c>
      <c r="B25" t="s">
        <v>42</v>
      </c>
      <c r="C25">
        <v>2</v>
      </c>
    </row>
    <row r="26" spans="1:3" x14ac:dyDescent="0.3">
      <c r="A26" s="2">
        <v>2021000025</v>
      </c>
      <c r="B26" t="s">
        <v>43</v>
      </c>
      <c r="C26">
        <v>3</v>
      </c>
    </row>
    <row r="27" spans="1:3" x14ac:dyDescent="0.3">
      <c r="A27" s="2">
        <v>2021000026</v>
      </c>
      <c r="B27" t="s">
        <v>44</v>
      </c>
      <c r="C27">
        <v>7</v>
      </c>
    </row>
    <row r="28" spans="1:3" x14ac:dyDescent="0.3">
      <c r="A28" s="2">
        <v>2021000027</v>
      </c>
      <c r="B28" t="s">
        <v>45</v>
      </c>
      <c r="C28">
        <v>6</v>
      </c>
    </row>
    <row r="29" spans="1:3" x14ac:dyDescent="0.3">
      <c r="A29" s="2">
        <v>2021000028</v>
      </c>
      <c r="B29" t="s">
        <v>46</v>
      </c>
      <c r="C29">
        <v>6</v>
      </c>
    </row>
    <row r="30" spans="1:3" x14ac:dyDescent="0.3">
      <c r="A30" s="2">
        <v>2021000029</v>
      </c>
      <c r="B30" t="s">
        <v>47</v>
      </c>
      <c r="C30">
        <v>7</v>
      </c>
    </row>
    <row r="31" spans="1:3" x14ac:dyDescent="0.3">
      <c r="A31" s="2">
        <v>2021000030</v>
      </c>
      <c r="B31" t="s">
        <v>48</v>
      </c>
      <c r="C31">
        <v>7</v>
      </c>
    </row>
    <row r="32" spans="1:3" x14ac:dyDescent="0.3">
      <c r="A32" s="2">
        <v>2021000031</v>
      </c>
      <c r="B32" t="s">
        <v>49</v>
      </c>
      <c r="C32">
        <v>4</v>
      </c>
    </row>
    <row r="33" spans="1:3" x14ac:dyDescent="0.3">
      <c r="A33" s="2">
        <v>2021000032</v>
      </c>
      <c r="B33" t="s">
        <v>50</v>
      </c>
      <c r="C33">
        <v>7</v>
      </c>
    </row>
    <row r="34" spans="1:3" x14ac:dyDescent="0.3">
      <c r="A34" s="2">
        <v>2021000033</v>
      </c>
      <c r="B34" t="s">
        <v>51</v>
      </c>
      <c r="C34">
        <v>5</v>
      </c>
    </row>
    <row r="35" spans="1:3" x14ac:dyDescent="0.3">
      <c r="A35" s="2">
        <v>2021000034</v>
      </c>
      <c r="B35" t="s">
        <v>52</v>
      </c>
      <c r="C35">
        <v>24</v>
      </c>
    </row>
    <row r="36" spans="1:3" x14ac:dyDescent="0.3">
      <c r="A36" s="2">
        <v>2021000035</v>
      </c>
      <c r="B36" t="s">
        <v>53</v>
      </c>
      <c r="C36">
        <v>7</v>
      </c>
    </row>
    <row r="37" spans="1:3" x14ac:dyDescent="0.3">
      <c r="A37" s="2">
        <v>2021000036</v>
      </c>
      <c r="B37" t="s">
        <v>54</v>
      </c>
      <c r="C37">
        <v>2</v>
      </c>
    </row>
    <row r="38" spans="1:3" x14ac:dyDescent="0.3">
      <c r="A38" s="2">
        <v>2021000037</v>
      </c>
      <c r="B38" t="s">
        <v>55</v>
      </c>
      <c r="C38">
        <v>0</v>
      </c>
    </row>
    <row r="39" spans="1:3" x14ac:dyDescent="0.3">
      <c r="A39" s="2">
        <v>2021000038</v>
      </c>
      <c r="B39" t="s">
        <v>56</v>
      </c>
      <c r="C39">
        <v>0</v>
      </c>
    </row>
    <row r="40" spans="1:3" x14ac:dyDescent="0.3">
      <c r="A40" s="2">
        <v>2021000039</v>
      </c>
      <c r="B40" t="s">
        <v>57</v>
      </c>
      <c r="C40">
        <v>0</v>
      </c>
    </row>
    <row r="41" spans="1:3" x14ac:dyDescent="0.3">
      <c r="A41" s="2">
        <v>2021000040</v>
      </c>
      <c r="B41" t="s">
        <v>58</v>
      </c>
      <c r="C41">
        <v>2</v>
      </c>
    </row>
    <row r="42" spans="1:3" x14ac:dyDescent="0.3">
      <c r="A42" s="2">
        <v>2021000041</v>
      </c>
      <c r="B42" t="s">
        <v>59</v>
      </c>
      <c r="C42">
        <v>1</v>
      </c>
    </row>
    <row r="43" spans="1:3" x14ac:dyDescent="0.3">
      <c r="A43" s="2">
        <v>2021000042</v>
      </c>
      <c r="B43" t="s">
        <v>255</v>
      </c>
      <c r="C43">
        <v>0</v>
      </c>
    </row>
    <row r="44" spans="1:3" x14ac:dyDescent="0.3">
      <c r="A44" s="2">
        <v>2021000043</v>
      </c>
      <c r="B44" t="s">
        <v>256</v>
      </c>
      <c r="C44">
        <v>9</v>
      </c>
    </row>
    <row r="45" spans="1:3" x14ac:dyDescent="0.3">
      <c r="A45" s="2">
        <v>2021000044</v>
      </c>
      <c r="B45" t="s">
        <v>257</v>
      </c>
      <c r="C45">
        <v>0</v>
      </c>
    </row>
    <row r="46" spans="1:3" x14ac:dyDescent="0.3">
      <c r="A46" s="2">
        <v>2021000045</v>
      </c>
      <c r="B46" t="s">
        <v>63</v>
      </c>
      <c r="C46">
        <v>9</v>
      </c>
    </row>
    <row r="47" spans="1:3" x14ac:dyDescent="0.3">
      <c r="A47" s="2">
        <v>2021000046</v>
      </c>
      <c r="B47" t="s">
        <v>64</v>
      </c>
      <c r="C47">
        <v>0</v>
      </c>
    </row>
    <row r="48" spans="1:3" x14ac:dyDescent="0.3">
      <c r="A48" s="2">
        <v>2021000047</v>
      </c>
      <c r="B48" t="s">
        <v>65</v>
      </c>
      <c r="C48">
        <v>5</v>
      </c>
    </row>
    <row r="49" spans="1:3" x14ac:dyDescent="0.3">
      <c r="A49" s="2">
        <v>2021000048</v>
      </c>
      <c r="B49" t="s">
        <v>66</v>
      </c>
      <c r="C49">
        <v>0</v>
      </c>
    </row>
    <row r="50" spans="1:3" x14ac:dyDescent="0.3">
      <c r="A50" s="2">
        <v>2021000049</v>
      </c>
      <c r="B50" t="s">
        <v>67</v>
      </c>
      <c r="C50">
        <v>0</v>
      </c>
    </row>
    <row r="51" spans="1:3" x14ac:dyDescent="0.3">
      <c r="A51" s="2">
        <v>2021000050</v>
      </c>
      <c r="B51" t="s">
        <v>68</v>
      </c>
      <c r="C51">
        <v>0</v>
      </c>
    </row>
    <row r="52" spans="1:3" x14ac:dyDescent="0.3">
      <c r="A52" s="2">
        <v>2021000051</v>
      </c>
      <c r="B52" t="s">
        <v>69</v>
      </c>
      <c r="C52">
        <v>15</v>
      </c>
    </row>
    <row r="53" spans="1:3" x14ac:dyDescent="0.3">
      <c r="A53" s="2">
        <v>2021000052</v>
      </c>
      <c r="B53" t="s">
        <v>70</v>
      </c>
      <c r="C53">
        <v>3</v>
      </c>
    </row>
    <row r="54" spans="1:3" x14ac:dyDescent="0.3">
      <c r="A54" s="2">
        <v>2021000053</v>
      </c>
      <c r="B54" t="s">
        <v>71</v>
      </c>
      <c r="C54">
        <v>0</v>
      </c>
    </row>
    <row r="55" spans="1:3" x14ac:dyDescent="0.3">
      <c r="A55" s="2">
        <v>2021000054</v>
      </c>
      <c r="B55" t="s">
        <v>72</v>
      </c>
      <c r="C55">
        <v>9</v>
      </c>
    </row>
    <row r="56" spans="1:3" x14ac:dyDescent="0.3">
      <c r="A56" s="2">
        <v>2021000055</v>
      </c>
      <c r="B56" t="s">
        <v>73</v>
      </c>
      <c r="C56">
        <v>3</v>
      </c>
    </row>
    <row r="57" spans="1:3" x14ac:dyDescent="0.3">
      <c r="A57" s="2">
        <v>2021000056</v>
      </c>
      <c r="B57" t="s">
        <v>74</v>
      </c>
      <c r="C57">
        <v>0</v>
      </c>
    </row>
    <row r="58" spans="1:3" x14ac:dyDescent="0.3">
      <c r="A58" s="2">
        <v>2021000057</v>
      </c>
      <c r="B58" t="s">
        <v>75</v>
      </c>
      <c r="C58">
        <v>5</v>
      </c>
    </row>
    <row r="59" spans="1:3" x14ac:dyDescent="0.3">
      <c r="A59" s="2">
        <v>2021000058</v>
      </c>
      <c r="B59" t="s">
        <v>76</v>
      </c>
      <c r="C59">
        <v>4</v>
      </c>
    </row>
    <row r="60" spans="1:3" x14ac:dyDescent="0.3">
      <c r="A60" s="2">
        <v>2021000059</v>
      </c>
      <c r="B60" t="s">
        <v>77</v>
      </c>
      <c r="C60">
        <v>2</v>
      </c>
    </row>
    <row r="61" spans="1:3" x14ac:dyDescent="0.3">
      <c r="A61" s="2">
        <v>2021000060</v>
      </c>
      <c r="B61" t="s">
        <v>78</v>
      </c>
      <c r="C61">
        <v>0</v>
      </c>
    </row>
    <row r="62" spans="1:3" x14ac:dyDescent="0.3">
      <c r="A62" s="2">
        <v>2021000061</v>
      </c>
      <c r="B62" t="s">
        <v>79</v>
      </c>
      <c r="C62">
        <v>3</v>
      </c>
    </row>
    <row r="63" spans="1:3" x14ac:dyDescent="0.3">
      <c r="A63" s="2">
        <v>2021000062</v>
      </c>
      <c r="B63" t="s">
        <v>80</v>
      </c>
      <c r="C63">
        <v>3</v>
      </c>
    </row>
    <row r="64" spans="1:3" x14ac:dyDescent="0.3">
      <c r="A64" s="2">
        <v>2021000063</v>
      </c>
      <c r="B64" t="s">
        <v>81</v>
      </c>
      <c r="C64">
        <v>4</v>
      </c>
    </row>
    <row r="65" spans="1:3" x14ac:dyDescent="0.3">
      <c r="A65" s="2">
        <v>2021000064</v>
      </c>
      <c r="B65" t="s">
        <v>82</v>
      </c>
      <c r="C65">
        <v>0</v>
      </c>
    </row>
    <row r="66" spans="1:3" x14ac:dyDescent="0.3">
      <c r="A66" s="2">
        <v>2021000065</v>
      </c>
      <c r="B66" t="s">
        <v>83</v>
      </c>
      <c r="C66">
        <v>3</v>
      </c>
    </row>
    <row r="67" spans="1:3" x14ac:dyDescent="0.3">
      <c r="A67" s="2">
        <v>2021000066</v>
      </c>
      <c r="B67" t="s">
        <v>84</v>
      </c>
      <c r="C67">
        <v>2</v>
      </c>
    </row>
    <row r="68" spans="1:3" x14ac:dyDescent="0.3">
      <c r="A68" s="2">
        <v>2021000067</v>
      </c>
      <c r="B68" t="s">
        <v>85</v>
      </c>
      <c r="C68">
        <v>0</v>
      </c>
    </row>
    <row r="69" spans="1:3" x14ac:dyDescent="0.3">
      <c r="A69" s="2">
        <v>2021000068</v>
      </c>
      <c r="B69" t="s">
        <v>86</v>
      </c>
      <c r="C69">
        <v>2</v>
      </c>
    </row>
    <row r="70" spans="1:3" x14ac:dyDescent="0.3">
      <c r="A70" s="2">
        <v>2021000069</v>
      </c>
      <c r="B70" t="s">
        <v>87</v>
      </c>
      <c r="C70">
        <v>0</v>
      </c>
    </row>
    <row r="71" spans="1:3" x14ac:dyDescent="0.3">
      <c r="A71" s="2">
        <v>2021000070</v>
      </c>
      <c r="B71" t="s">
        <v>89</v>
      </c>
      <c r="C71">
        <v>0</v>
      </c>
    </row>
    <row r="72" spans="1:3" x14ac:dyDescent="0.3">
      <c r="A72" s="2">
        <v>2021000071</v>
      </c>
      <c r="B72" t="s">
        <v>88</v>
      </c>
      <c r="C72">
        <v>6</v>
      </c>
    </row>
    <row r="73" spans="1:3" x14ac:dyDescent="0.3">
      <c r="A73" s="2">
        <v>2021000072</v>
      </c>
      <c r="B73" t="s">
        <v>90</v>
      </c>
      <c r="C73">
        <v>0</v>
      </c>
    </row>
    <row r="74" spans="1:3" x14ac:dyDescent="0.3">
      <c r="A74" s="2">
        <v>2021000073</v>
      </c>
      <c r="B74" t="s">
        <v>91</v>
      </c>
      <c r="C74">
        <v>0</v>
      </c>
    </row>
    <row r="75" spans="1:3" x14ac:dyDescent="0.3">
      <c r="A75" s="2">
        <v>2021000074</v>
      </c>
      <c r="B75" t="s">
        <v>93</v>
      </c>
      <c r="C75">
        <v>0</v>
      </c>
    </row>
    <row r="76" spans="1:3" x14ac:dyDescent="0.3">
      <c r="A76" s="2">
        <v>2021000075</v>
      </c>
      <c r="B76" t="s">
        <v>92</v>
      </c>
      <c r="C76">
        <v>0</v>
      </c>
    </row>
    <row r="77" spans="1:3" x14ac:dyDescent="0.3">
      <c r="A77" s="2">
        <v>2021000076</v>
      </c>
      <c r="B77" t="s">
        <v>94</v>
      </c>
      <c r="C77">
        <v>0</v>
      </c>
    </row>
    <row r="78" spans="1:3" x14ac:dyDescent="0.3">
      <c r="A78" s="2">
        <v>2021000077</v>
      </c>
      <c r="B78" t="s">
        <v>95</v>
      </c>
      <c r="C78">
        <v>0</v>
      </c>
    </row>
    <row r="79" spans="1:3" x14ac:dyDescent="0.3">
      <c r="A79" s="2">
        <v>2021000078</v>
      </c>
      <c r="B79" t="s">
        <v>261</v>
      </c>
      <c r="C79">
        <v>19</v>
      </c>
    </row>
    <row r="80" spans="1:3" x14ac:dyDescent="0.3">
      <c r="A80" s="2">
        <v>2021000079</v>
      </c>
      <c r="B80" t="s">
        <v>97</v>
      </c>
      <c r="C80">
        <v>0</v>
      </c>
    </row>
    <row r="81" spans="1:3" x14ac:dyDescent="0.3">
      <c r="A81" s="2">
        <v>2021000080</v>
      </c>
      <c r="B81" t="s">
        <v>262</v>
      </c>
      <c r="C81">
        <v>38</v>
      </c>
    </row>
    <row r="82" spans="1:3" x14ac:dyDescent="0.3">
      <c r="A82" s="2">
        <v>2021000081</v>
      </c>
      <c r="B82" t="s">
        <v>99</v>
      </c>
      <c r="C82">
        <v>0</v>
      </c>
    </row>
    <row r="83" spans="1:3" x14ac:dyDescent="0.3">
      <c r="A83" s="2">
        <v>2021000082</v>
      </c>
      <c r="B83" t="s">
        <v>100</v>
      </c>
      <c r="C83">
        <v>1</v>
      </c>
    </row>
    <row r="84" spans="1:3" x14ac:dyDescent="0.3">
      <c r="A84" s="2">
        <v>2021000083</v>
      </c>
      <c r="B84" t="s">
        <v>101</v>
      </c>
      <c r="C84">
        <v>0</v>
      </c>
    </row>
    <row r="85" spans="1:3" x14ac:dyDescent="0.3">
      <c r="A85" s="2">
        <v>2021000084</v>
      </c>
      <c r="B85" t="s">
        <v>102</v>
      </c>
      <c r="C85">
        <v>7</v>
      </c>
    </row>
    <row r="86" spans="1:3" x14ac:dyDescent="0.3">
      <c r="A86" s="2">
        <v>2021000085</v>
      </c>
      <c r="B86" t="s">
        <v>103</v>
      </c>
      <c r="C86">
        <v>0</v>
      </c>
    </row>
    <row r="87" spans="1:3" x14ac:dyDescent="0.3">
      <c r="A87" s="2">
        <v>2021000086</v>
      </c>
      <c r="B87" t="s">
        <v>104</v>
      </c>
      <c r="C87">
        <v>5</v>
      </c>
    </row>
    <row r="88" spans="1:3" x14ac:dyDescent="0.3">
      <c r="A88" s="2">
        <v>2021000087</v>
      </c>
      <c r="B88" t="s">
        <v>105</v>
      </c>
      <c r="C88">
        <v>8</v>
      </c>
    </row>
    <row r="89" spans="1:3" x14ac:dyDescent="0.3">
      <c r="A89" s="2">
        <v>2021000088</v>
      </c>
      <c r="B89" t="s">
        <v>106</v>
      </c>
      <c r="C89">
        <v>9</v>
      </c>
    </row>
    <row r="90" spans="1:3" x14ac:dyDescent="0.3">
      <c r="A90" s="2">
        <v>2021000089</v>
      </c>
      <c r="B90" t="s">
        <v>107</v>
      </c>
      <c r="C90">
        <v>30</v>
      </c>
    </row>
    <row r="91" spans="1:3" x14ac:dyDescent="0.3">
      <c r="A91" s="2">
        <v>2021000090</v>
      </c>
      <c r="B91" t="s">
        <v>108</v>
      </c>
      <c r="C91">
        <v>29</v>
      </c>
    </row>
    <row r="92" spans="1:3" x14ac:dyDescent="0.3">
      <c r="A92" s="2">
        <v>2021000091</v>
      </c>
      <c r="B92" t="s">
        <v>109</v>
      </c>
      <c r="C92">
        <v>6</v>
      </c>
    </row>
    <row r="93" spans="1:3" x14ac:dyDescent="0.3">
      <c r="A93" s="2">
        <v>2021000092</v>
      </c>
      <c r="B93" t="s">
        <v>110</v>
      </c>
      <c r="C93">
        <v>6</v>
      </c>
    </row>
    <row r="94" spans="1:3" x14ac:dyDescent="0.3">
      <c r="A94" s="2">
        <v>2021000093</v>
      </c>
      <c r="B94" t="s">
        <v>111</v>
      </c>
      <c r="C94">
        <v>7</v>
      </c>
    </row>
    <row r="95" spans="1:3" x14ac:dyDescent="0.3">
      <c r="A95" s="2">
        <v>2021000094</v>
      </c>
      <c r="B95" t="s">
        <v>112</v>
      </c>
      <c r="C95">
        <v>14</v>
      </c>
    </row>
    <row r="96" spans="1:3" x14ac:dyDescent="0.3">
      <c r="A96" s="2">
        <v>2021000095</v>
      </c>
      <c r="B96" t="s">
        <v>113</v>
      </c>
      <c r="C96">
        <v>7</v>
      </c>
    </row>
    <row r="97" spans="1:3" x14ac:dyDescent="0.3">
      <c r="A97" s="2">
        <v>2021000096</v>
      </c>
      <c r="B97" t="s">
        <v>114</v>
      </c>
      <c r="C97">
        <v>6</v>
      </c>
    </row>
    <row r="98" spans="1:3" x14ac:dyDescent="0.3">
      <c r="A98" s="2">
        <v>2021000097</v>
      </c>
      <c r="B98" t="s">
        <v>115</v>
      </c>
      <c r="C98">
        <v>10</v>
      </c>
    </row>
    <row r="99" spans="1:3" x14ac:dyDescent="0.3">
      <c r="A99" s="2">
        <v>2021000098</v>
      </c>
      <c r="B99" t="s">
        <v>116</v>
      </c>
      <c r="C99">
        <v>11</v>
      </c>
    </row>
    <row r="100" spans="1:3" x14ac:dyDescent="0.3">
      <c r="A100" s="2">
        <v>2021000099</v>
      </c>
      <c r="B100" t="s">
        <v>117</v>
      </c>
      <c r="C100">
        <v>7</v>
      </c>
    </row>
    <row r="101" spans="1:3" x14ac:dyDescent="0.3">
      <c r="A101" s="2">
        <v>2021000100</v>
      </c>
      <c r="B101" t="s">
        <v>118</v>
      </c>
      <c r="C101">
        <v>3</v>
      </c>
    </row>
    <row r="102" spans="1:3" x14ac:dyDescent="0.3">
      <c r="A102" s="2">
        <v>2021000101</v>
      </c>
      <c r="B102" t="s">
        <v>119</v>
      </c>
      <c r="C102">
        <v>2</v>
      </c>
    </row>
    <row r="103" spans="1:3" x14ac:dyDescent="0.3">
      <c r="A103" s="2">
        <v>2021000102</v>
      </c>
      <c r="B103" t="s">
        <v>120</v>
      </c>
      <c r="C103">
        <v>2</v>
      </c>
    </row>
    <row r="104" spans="1:3" x14ac:dyDescent="0.3">
      <c r="A104" s="2">
        <v>2021000103</v>
      </c>
      <c r="B104" t="s">
        <v>121</v>
      </c>
      <c r="C104">
        <v>8</v>
      </c>
    </row>
    <row r="105" spans="1:3" x14ac:dyDescent="0.3">
      <c r="A105" s="2">
        <v>2021000104</v>
      </c>
      <c r="B105" t="s">
        <v>122</v>
      </c>
      <c r="C105">
        <v>1</v>
      </c>
    </row>
    <row r="106" spans="1:3" x14ac:dyDescent="0.3">
      <c r="A106" s="2">
        <v>2021000105</v>
      </c>
      <c r="B106" t="s">
        <v>123</v>
      </c>
      <c r="C106">
        <v>9</v>
      </c>
    </row>
    <row r="107" spans="1:3" x14ac:dyDescent="0.3">
      <c r="A107" s="2">
        <v>2021000106</v>
      </c>
      <c r="B107" t="s">
        <v>124</v>
      </c>
      <c r="C107">
        <v>5</v>
      </c>
    </row>
    <row r="108" spans="1:3" x14ac:dyDescent="0.3">
      <c r="A108" s="2">
        <v>2021000107</v>
      </c>
      <c r="B108" t="s">
        <v>125</v>
      </c>
      <c r="C108">
        <v>5</v>
      </c>
    </row>
    <row r="109" spans="1:3" x14ac:dyDescent="0.3">
      <c r="A109" s="2">
        <v>2021000108</v>
      </c>
      <c r="B109" t="s">
        <v>126</v>
      </c>
      <c r="C109">
        <v>6</v>
      </c>
    </row>
    <row r="110" spans="1:3" x14ac:dyDescent="0.3">
      <c r="A110" s="2">
        <v>2021000109</v>
      </c>
      <c r="B110" t="s">
        <v>127</v>
      </c>
      <c r="C110">
        <v>1</v>
      </c>
    </row>
    <row r="111" spans="1:3" x14ac:dyDescent="0.3">
      <c r="A111" s="2">
        <v>2021000110</v>
      </c>
      <c r="B111" t="s">
        <v>128</v>
      </c>
      <c r="C111">
        <v>1</v>
      </c>
    </row>
    <row r="112" spans="1:3" x14ac:dyDescent="0.3">
      <c r="A112" s="2">
        <v>2021000111</v>
      </c>
      <c r="B112" t="s">
        <v>129</v>
      </c>
      <c r="C112">
        <v>1</v>
      </c>
    </row>
    <row r="113" spans="1:3" x14ac:dyDescent="0.3">
      <c r="A113" s="2">
        <v>2021000112</v>
      </c>
      <c r="B113" t="s">
        <v>130</v>
      </c>
      <c r="C113">
        <v>1</v>
      </c>
    </row>
    <row r="114" spans="1:3" x14ac:dyDescent="0.3">
      <c r="A114" s="2">
        <v>2021000113</v>
      </c>
      <c r="B114" t="s">
        <v>131</v>
      </c>
      <c r="C114">
        <v>1</v>
      </c>
    </row>
    <row r="115" spans="1:3" x14ac:dyDescent="0.3">
      <c r="A115" s="2">
        <v>2021000114</v>
      </c>
      <c r="B115" t="s">
        <v>132</v>
      </c>
      <c r="C115">
        <v>1</v>
      </c>
    </row>
    <row r="116" spans="1:3" x14ac:dyDescent="0.3">
      <c r="A116" s="2">
        <v>2021000115</v>
      </c>
      <c r="B116" t="s">
        <v>133</v>
      </c>
      <c r="C116">
        <v>0</v>
      </c>
    </row>
    <row r="117" spans="1:3" x14ac:dyDescent="0.3">
      <c r="A117" s="2">
        <v>2021000116</v>
      </c>
      <c r="B117" t="s">
        <v>134</v>
      </c>
      <c r="C117">
        <v>1</v>
      </c>
    </row>
    <row r="118" spans="1:3" x14ac:dyDescent="0.3">
      <c r="A118" s="2">
        <v>2021000117</v>
      </c>
      <c r="B118" t="s">
        <v>135</v>
      </c>
      <c r="C118">
        <v>11</v>
      </c>
    </row>
    <row r="119" spans="1:3" x14ac:dyDescent="0.3">
      <c r="A119" s="2">
        <v>2021000118</v>
      </c>
      <c r="B119" t="s">
        <v>136</v>
      </c>
      <c r="C119">
        <v>7</v>
      </c>
    </row>
    <row r="120" spans="1:3" x14ac:dyDescent="0.3">
      <c r="A120" s="2">
        <v>2021000119</v>
      </c>
      <c r="B120" t="s">
        <v>137</v>
      </c>
      <c r="C120">
        <v>5</v>
      </c>
    </row>
    <row r="121" spans="1:3" x14ac:dyDescent="0.3">
      <c r="A121" s="2">
        <v>2021000120</v>
      </c>
      <c r="B121" t="s">
        <v>138</v>
      </c>
      <c r="C121">
        <v>12</v>
      </c>
    </row>
    <row r="122" spans="1:3" x14ac:dyDescent="0.3">
      <c r="A122" s="2">
        <v>2021000121</v>
      </c>
      <c r="B122" t="s">
        <v>139</v>
      </c>
      <c r="C122">
        <v>2</v>
      </c>
    </row>
    <row r="123" spans="1:3" x14ac:dyDescent="0.3">
      <c r="A123" s="2">
        <v>2021000122</v>
      </c>
      <c r="B123" t="s">
        <v>140</v>
      </c>
      <c r="C123">
        <v>11</v>
      </c>
    </row>
    <row r="124" spans="1:3" x14ac:dyDescent="0.3">
      <c r="A124" s="2">
        <v>2021000123</v>
      </c>
      <c r="B124" t="s">
        <v>141</v>
      </c>
      <c r="C124">
        <v>8</v>
      </c>
    </row>
    <row r="125" spans="1:3" x14ac:dyDescent="0.3">
      <c r="A125" s="2">
        <v>2021000124</v>
      </c>
      <c r="B125" t="s">
        <v>142</v>
      </c>
      <c r="C125">
        <v>5</v>
      </c>
    </row>
    <row r="126" spans="1:3" x14ac:dyDescent="0.3">
      <c r="A126" s="2">
        <v>2021000125</v>
      </c>
      <c r="B126" t="s">
        <v>143</v>
      </c>
      <c r="C126">
        <v>6</v>
      </c>
    </row>
    <row r="127" spans="1:3" x14ac:dyDescent="0.3">
      <c r="A127" s="2">
        <v>2021000126</v>
      </c>
      <c r="B127" t="s">
        <v>144</v>
      </c>
      <c r="C127">
        <v>3</v>
      </c>
    </row>
    <row r="128" spans="1:3" x14ac:dyDescent="0.3">
      <c r="A128" s="2">
        <v>2021000127</v>
      </c>
      <c r="B128" t="s">
        <v>145</v>
      </c>
      <c r="C128">
        <v>0</v>
      </c>
    </row>
    <row r="129" spans="1:3" x14ac:dyDescent="0.3">
      <c r="A129" s="2">
        <v>2021000128</v>
      </c>
      <c r="B129" t="s">
        <v>146</v>
      </c>
      <c r="C129">
        <v>1</v>
      </c>
    </row>
    <row r="130" spans="1:3" x14ac:dyDescent="0.3">
      <c r="A130" s="2">
        <v>2021000129</v>
      </c>
      <c r="B130" t="s">
        <v>147</v>
      </c>
      <c r="C130">
        <v>0</v>
      </c>
    </row>
    <row r="131" spans="1:3" x14ac:dyDescent="0.3">
      <c r="A131" s="2">
        <v>2021000130</v>
      </c>
      <c r="B131" t="s">
        <v>148</v>
      </c>
      <c r="C131">
        <v>11</v>
      </c>
    </row>
    <row r="132" spans="1:3" x14ac:dyDescent="0.3">
      <c r="A132" s="2">
        <v>2021000131</v>
      </c>
      <c r="B132" t="s">
        <v>149</v>
      </c>
      <c r="C132">
        <v>10</v>
      </c>
    </row>
    <row r="133" spans="1:3" x14ac:dyDescent="0.3">
      <c r="A133" s="2">
        <v>2021000132</v>
      </c>
      <c r="B133" t="s">
        <v>150</v>
      </c>
      <c r="C133">
        <v>0</v>
      </c>
    </row>
    <row r="134" spans="1:3" x14ac:dyDescent="0.3">
      <c r="A134" s="2">
        <v>2021000133</v>
      </c>
      <c r="B134" t="s">
        <v>151</v>
      </c>
      <c r="C134">
        <v>5</v>
      </c>
    </row>
    <row r="135" spans="1:3" x14ac:dyDescent="0.3">
      <c r="A135" s="2">
        <v>2021000134</v>
      </c>
      <c r="B135" t="s">
        <v>152</v>
      </c>
      <c r="C135">
        <v>0</v>
      </c>
    </row>
    <row r="136" spans="1:3" x14ac:dyDescent="0.3">
      <c r="A136" s="2">
        <v>2021000135</v>
      </c>
      <c r="B136" t="s">
        <v>153</v>
      </c>
      <c r="C136">
        <v>5</v>
      </c>
    </row>
    <row r="137" spans="1:3" x14ac:dyDescent="0.3">
      <c r="A137" s="2">
        <v>2021000136</v>
      </c>
      <c r="B137" t="s">
        <v>154</v>
      </c>
      <c r="C137">
        <v>4</v>
      </c>
    </row>
    <row r="138" spans="1:3" x14ac:dyDescent="0.3">
      <c r="A138" s="2">
        <v>2021000137</v>
      </c>
      <c r="B138" t="s">
        <v>155</v>
      </c>
      <c r="C138">
        <v>2</v>
      </c>
    </row>
    <row r="139" spans="1:3" x14ac:dyDescent="0.3">
      <c r="A139" s="2">
        <v>2021000138</v>
      </c>
      <c r="B139" t="s">
        <v>156</v>
      </c>
      <c r="C139">
        <v>2</v>
      </c>
    </row>
    <row r="140" spans="1:3" x14ac:dyDescent="0.3">
      <c r="A140" s="2">
        <v>2021000139</v>
      </c>
      <c r="B140" t="s">
        <v>157</v>
      </c>
      <c r="C140">
        <v>1</v>
      </c>
    </row>
    <row r="141" spans="1:3" x14ac:dyDescent="0.3">
      <c r="A141" s="2">
        <v>2021000140</v>
      </c>
      <c r="B141" t="s">
        <v>158</v>
      </c>
      <c r="C141">
        <v>0</v>
      </c>
    </row>
    <row r="142" spans="1:3" x14ac:dyDescent="0.3">
      <c r="A142" s="2">
        <v>2021000141</v>
      </c>
      <c r="B142" t="s">
        <v>159</v>
      </c>
      <c r="C142">
        <v>1</v>
      </c>
    </row>
    <row r="143" spans="1:3" x14ac:dyDescent="0.3">
      <c r="A143" s="2">
        <v>2021000142</v>
      </c>
      <c r="B143" t="s">
        <v>160</v>
      </c>
      <c r="C143">
        <v>2</v>
      </c>
    </row>
    <row r="144" spans="1:3" x14ac:dyDescent="0.3">
      <c r="A144" s="2">
        <v>2021000143</v>
      </c>
      <c r="B144" t="s">
        <v>161</v>
      </c>
      <c r="C144">
        <v>1</v>
      </c>
    </row>
    <row r="145" spans="1:3" x14ac:dyDescent="0.3">
      <c r="A145" s="2">
        <v>2021000144</v>
      </c>
      <c r="B145" t="s">
        <v>162</v>
      </c>
      <c r="C145">
        <v>3</v>
      </c>
    </row>
    <row r="146" spans="1:3" x14ac:dyDescent="0.3">
      <c r="A146" s="2">
        <v>2021000145</v>
      </c>
      <c r="B146" t="s">
        <v>343</v>
      </c>
      <c r="C146">
        <v>6</v>
      </c>
    </row>
    <row r="147" spans="1:3" x14ac:dyDescent="0.3">
      <c r="A147" s="2">
        <v>2021000146</v>
      </c>
      <c r="B147" t="s">
        <v>163</v>
      </c>
      <c r="C147">
        <v>1</v>
      </c>
    </row>
    <row r="148" spans="1:3" x14ac:dyDescent="0.3">
      <c r="A148" s="2">
        <v>2021000147</v>
      </c>
      <c r="B148" t="s">
        <v>164</v>
      </c>
      <c r="C148">
        <v>2</v>
      </c>
    </row>
    <row r="149" spans="1:3" x14ac:dyDescent="0.3">
      <c r="A149" s="2">
        <v>2021000148</v>
      </c>
      <c r="B149" t="s">
        <v>165</v>
      </c>
      <c r="C149">
        <v>0</v>
      </c>
    </row>
    <row r="150" spans="1:3" x14ac:dyDescent="0.3">
      <c r="A150" s="2">
        <v>2021000149</v>
      </c>
      <c r="B150" t="s">
        <v>166</v>
      </c>
      <c r="C150">
        <v>5</v>
      </c>
    </row>
    <row r="151" spans="1:3" x14ac:dyDescent="0.3">
      <c r="A151" s="2">
        <v>2021000150</v>
      </c>
      <c r="B151" t="s">
        <v>167</v>
      </c>
      <c r="C151">
        <v>3</v>
      </c>
    </row>
    <row r="152" spans="1:3" x14ac:dyDescent="0.3">
      <c r="A152" s="2">
        <v>2021000151</v>
      </c>
      <c r="B152" t="s">
        <v>168</v>
      </c>
      <c r="C152">
        <v>10</v>
      </c>
    </row>
    <row r="153" spans="1:3" x14ac:dyDescent="0.3">
      <c r="A153" s="2">
        <v>2021000152</v>
      </c>
      <c r="B153" t="s">
        <v>169</v>
      </c>
      <c r="C153">
        <v>6</v>
      </c>
    </row>
    <row r="154" spans="1:3" x14ac:dyDescent="0.3">
      <c r="A154" s="2">
        <v>2021000153</v>
      </c>
      <c r="B154" t="s">
        <v>170</v>
      </c>
      <c r="C154">
        <v>6</v>
      </c>
    </row>
    <row r="155" spans="1:3" x14ac:dyDescent="0.3">
      <c r="A155" s="2">
        <v>2021000154</v>
      </c>
      <c r="B155" t="s">
        <v>171</v>
      </c>
      <c r="C155">
        <v>3</v>
      </c>
    </row>
    <row r="156" spans="1:3" x14ac:dyDescent="0.3">
      <c r="A156" s="2">
        <v>2021000155</v>
      </c>
      <c r="B156" t="s">
        <v>172</v>
      </c>
      <c r="C156">
        <v>4</v>
      </c>
    </row>
    <row r="157" spans="1:3" x14ac:dyDescent="0.3">
      <c r="A157" s="2">
        <v>2021000156</v>
      </c>
      <c r="B157" t="s">
        <v>173</v>
      </c>
      <c r="C157">
        <v>2</v>
      </c>
    </row>
    <row r="158" spans="1:3" x14ac:dyDescent="0.3">
      <c r="A158" s="2">
        <v>2021000157</v>
      </c>
      <c r="B158" t="s">
        <v>368</v>
      </c>
      <c r="C158">
        <v>23</v>
      </c>
    </row>
    <row r="159" spans="1:3" x14ac:dyDescent="0.3">
      <c r="A159" s="2">
        <v>2021000158</v>
      </c>
      <c r="B159" t="s">
        <v>175</v>
      </c>
      <c r="C159">
        <v>1</v>
      </c>
    </row>
    <row r="160" spans="1:3" x14ac:dyDescent="0.3">
      <c r="A160" s="2">
        <v>2021000159</v>
      </c>
      <c r="B160" t="s">
        <v>176</v>
      </c>
      <c r="C160">
        <v>13</v>
      </c>
    </row>
    <row r="161" spans="1:3" x14ac:dyDescent="0.3">
      <c r="A161" s="2">
        <v>2021000160</v>
      </c>
      <c r="B161" t="s">
        <v>177</v>
      </c>
      <c r="C161">
        <v>3</v>
      </c>
    </row>
    <row r="162" spans="1:3" x14ac:dyDescent="0.3">
      <c r="A162" s="2">
        <v>2021000161</v>
      </c>
      <c r="B162" t="s">
        <v>178</v>
      </c>
      <c r="C162">
        <v>26</v>
      </c>
    </row>
    <row r="163" spans="1:3" x14ac:dyDescent="0.3">
      <c r="A163" s="2">
        <v>2021000162</v>
      </c>
      <c r="B163" t="s">
        <v>179</v>
      </c>
      <c r="C163">
        <v>0</v>
      </c>
    </row>
    <row r="164" spans="1:3" x14ac:dyDescent="0.3">
      <c r="A164" s="2">
        <v>2021000163</v>
      </c>
      <c r="B164" t="s">
        <v>180</v>
      </c>
      <c r="C164">
        <v>4</v>
      </c>
    </row>
    <row r="165" spans="1:3" x14ac:dyDescent="0.3">
      <c r="A165" s="2">
        <v>2021000165</v>
      </c>
      <c r="B165" t="s">
        <v>181</v>
      </c>
      <c r="C165">
        <v>5</v>
      </c>
    </row>
    <row r="166" spans="1:3" x14ac:dyDescent="0.3">
      <c r="A166" s="2">
        <v>2021000166</v>
      </c>
      <c r="B166" t="s">
        <v>182</v>
      </c>
      <c r="C166">
        <v>8</v>
      </c>
    </row>
    <row r="167" spans="1:3" x14ac:dyDescent="0.3">
      <c r="A167" s="2">
        <v>2021000167</v>
      </c>
      <c r="B167" t="s">
        <v>183</v>
      </c>
      <c r="C167">
        <v>4</v>
      </c>
    </row>
    <row r="168" spans="1:3" x14ac:dyDescent="0.3">
      <c r="A168" s="2">
        <v>2021000168</v>
      </c>
      <c r="B168" t="s">
        <v>184</v>
      </c>
      <c r="C168">
        <v>4</v>
      </c>
    </row>
    <row r="169" spans="1:3" x14ac:dyDescent="0.3">
      <c r="A169" s="2">
        <v>2021000169</v>
      </c>
      <c r="B169" t="s">
        <v>263</v>
      </c>
      <c r="C169">
        <v>0</v>
      </c>
    </row>
    <row r="170" spans="1:3" x14ac:dyDescent="0.3">
      <c r="A170" s="2">
        <v>2021000170</v>
      </c>
      <c r="B170" t="s">
        <v>264</v>
      </c>
      <c r="C170">
        <v>5</v>
      </c>
    </row>
    <row r="171" spans="1:3" x14ac:dyDescent="0.3">
      <c r="A171" s="2">
        <v>2021000171</v>
      </c>
      <c r="B171" t="s">
        <v>265</v>
      </c>
      <c r="C171">
        <v>4</v>
      </c>
    </row>
    <row r="172" spans="1:3" x14ac:dyDescent="0.3">
      <c r="A172" s="2">
        <v>2021000172</v>
      </c>
      <c r="B172" t="s">
        <v>188</v>
      </c>
      <c r="C172">
        <v>4</v>
      </c>
    </row>
    <row r="173" spans="1:3" x14ac:dyDescent="0.3">
      <c r="A173" s="2">
        <v>2021000173</v>
      </c>
      <c r="B173" t="s">
        <v>192</v>
      </c>
      <c r="C173">
        <v>3</v>
      </c>
    </row>
    <row r="174" spans="1:3" x14ac:dyDescent="0.3">
      <c r="A174" s="2">
        <v>2021000174</v>
      </c>
      <c r="B174" t="s">
        <v>189</v>
      </c>
      <c r="C174">
        <v>13</v>
      </c>
    </row>
    <row r="175" spans="1:3" x14ac:dyDescent="0.3">
      <c r="A175" s="2">
        <v>2021000175</v>
      </c>
      <c r="B175" t="s">
        <v>190</v>
      </c>
      <c r="C175">
        <v>12</v>
      </c>
    </row>
    <row r="176" spans="1:3" x14ac:dyDescent="0.3">
      <c r="A176" s="2">
        <v>2021000176</v>
      </c>
      <c r="B176" t="s">
        <v>191</v>
      </c>
      <c r="C176">
        <v>8</v>
      </c>
    </row>
    <row r="177" spans="1:3" x14ac:dyDescent="0.3">
      <c r="A177" s="2">
        <v>2021000177</v>
      </c>
      <c r="B177" t="s">
        <v>193</v>
      </c>
      <c r="C177">
        <v>0</v>
      </c>
    </row>
    <row r="178" spans="1:3" x14ac:dyDescent="0.3">
      <c r="A178" s="2">
        <v>2021000178</v>
      </c>
      <c r="B178" t="s">
        <v>194</v>
      </c>
      <c r="C178">
        <v>5</v>
      </c>
    </row>
    <row r="179" spans="1:3" x14ac:dyDescent="0.3">
      <c r="A179" s="2">
        <v>2021000179</v>
      </c>
      <c r="B179" t="s">
        <v>195</v>
      </c>
      <c r="C179">
        <v>94</v>
      </c>
    </row>
    <row r="180" spans="1:3" x14ac:dyDescent="0.3">
      <c r="A180" s="2">
        <v>2021000180</v>
      </c>
      <c r="B180" t="s">
        <v>196</v>
      </c>
      <c r="C180">
        <v>50</v>
      </c>
    </row>
    <row r="181" spans="1:3" x14ac:dyDescent="0.3">
      <c r="A181" s="2">
        <v>2021000181</v>
      </c>
      <c r="B181" t="s">
        <v>197</v>
      </c>
      <c r="C181">
        <v>54</v>
      </c>
    </row>
    <row r="182" spans="1:3" x14ac:dyDescent="0.3">
      <c r="A182" s="2">
        <v>2021000182</v>
      </c>
      <c r="B182" t="s">
        <v>198</v>
      </c>
      <c r="C182">
        <v>5</v>
      </c>
    </row>
    <row r="183" spans="1:3" x14ac:dyDescent="0.3">
      <c r="A183" s="2">
        <v>2021000183</v>
      </c>
      <c r="B183" t="s">
        <v>199</v>
      </c>
      <c r="C183">
        <v>10</v>
      </c>
    </row>
    <row r="184" spans="1:3" x14ac:dyDescent="0.3">
      <c r="A184" s="2">
        <v>2021000184</v>
      </c>
      <c r="B184" t="s">
        <v>200</v>
      </c>
      <c r="C184">
        <v>1</v>
      </c>
    </row>
    <row r="185" spans="1:3" x14ac:dyDescent="0.3">
      <c r="A185" s="2">
        <v>2021000185</v>
      </c>
      <c r="B185" t="s">
        <v>201</v>
      </c>
      <c r="C185">
        <v>6</v>
      </c>
    </row>
    <row r="186" spans="1:3" x14ac:dyDescent="0.3">
      <c r="A186" s="2">
        <v>2021000186</v>
      </c>
      <c r="B186" t="s">
        <v>202</v>
      </c>
      <c r="C186">
        <v>4</v>
      </c>
    </row>
    <row r="187" spans="1:3" x14ac:dyDescent="0.3">
      <c r="A187" s="2">
        <v>2021000187</v>
      </c>
      <c r="B187" t="s">
        <v>203</v>
      </c>
      <c r="C187">
        <v>0</v>
      </c>
    </row>
    <row r="188" spans="1:3" x14ac:dyDescent="0.3">
      <c r="A188" s="2">
        <v>2021000188</v>
      </c>
      <c r="B188" t="s">
        <v>204</v>
      </c>
      <c r="C188">
        <v>3</v>
      </c>
    </row>
    <row r="189" spans="1:3" x14ac:dyDescent="0.3">
      <c r="A189" s="2">
        <v>2021000189</v>
      </c>
      <c r="B189" t="s">
        <v>205</v>
      </c>
      <c r="C189">
        <v>4</v>
      </c>
    </row>
    <row r="190" spans="1:3" x14ac:dyDescent="0.3">
      <c r="A190" s="2">
        <v>2021000190</v>
      </c>
      <c r="B190" t="s">
        <v>206</v>
      </c>
      <c r="C190">
        <v>12</v>
      </c>
    </row>
    <row r="191" spans="1:3" x14ac:dyDescent="0.3">
      <c r="A191" s="2">
        <v>2021000191</v>
      </c>
      <c r="B191" t="s">
        <v>207</v>
      </c>
      <c r="C191">
        <v>0</v>
      </c>
    </row>
    <row r="192" spans="1:3" x14ac:dyDescent="0.3">
      <c r="A192" s="2">
        <v>2021000192</v>
      </c>
      <c r="B192" t="s">
        <v>208</v>
      </c>
      <c r="C192">
        <v>6</v>
      </c>
    </row>
    <row r="193" spans="1:3" x14ac:dyDescent="0.3">
      <c r="A193" s="2">
        <v>2021000193</v>
      </c>
      <c r="B193" t="s">
        <v>209</v>
      </c>
      <c r="C193">
        <v>2</v>
      </c>
    </row>
    <row r="194" spans="1:3" x14ac:dyDescent="0.3">
      <c r="A194" s="2">
        <v>2021000194</v>
      </c>
      <c r="B194" t="s">
        <v>210</v>
      </c>
      <c r="C194">
        <v>1</v>
      </c>
    </row>
    <row r="195" spans="1:3" x14ac:dyDescent="0.3">
      <c r="A195" s="2">
        <v>2021000195</v>
      </c>
      <c r="B195" t="s">
        <v>211</v>
      </c>
      <c r="C195">
        <v>19</v>
      </c>
    </row>
    <row r="196" spans="1:3" x14ac:dyDescent="0.3">
      <c r="A196" s="2">
        <v>2021000196</v>
      </c>
      <c r="B196" t="s">
        <v>212</v>
      </c>
      <c r="C196">
        <v>1</v>
      </c>
    </row>
    <row r="197" spans="1:3" x14ac:dyDescent="0.3">
      <c r="A197" s="2">
        <v>2021000197</v>
      </c>
      <c r="B197" t="s">
        <v>213</v>
      </c>
      <c r="C197">
        <v>2</v>
      </c>
    </row>
    <row r="198" spans="1:3" x14ac:dyDescent="0.3">
      <c r="A198" s="2">
        <v>2021000198</v>
      </c>
      <c r="B198" t="s">
        <v>214</v>
      </c>
      <c r="C198">
        <v>2</v>
      </c>
    </row>
    <row r="199" spans="1:3" x14ac:dyDescent="0.3">
      <c r="A199" s="2">
        <v>2021000199</v>
      </c>
      <c r="B199" t="s">
        <v>215</v>
      </c>
      <c r="C199">
        <v>0</v>
      </c>
    </row>
    <row r="200" spans="1:3" x14ac:dyDescent="0.3">
      <c r="A200" s="2">
        <v>2021000200</v>
      </c>
      <c r="B200" t="s">
        <v>216</v>
      </c>
      <c r="C200">
        <v>23</v>
      </c>
    </row>
    <row r="201" spans="1:3" x14ac:dyDescent="0.3">
      <c r="A201" s="2">
        <v>2021000201</v>
      </c>
      <c r="B201" t="s">
        <v>217</v>
      </c>
      <c r="C201">
        <v>12</v>
      </c>
    </row>
    <row r="202" spans="1:3" x14ac:dyDescent="0.3">
      <c r="A202" s="2">
        <v>2021000202</v>
      </c>
      <c r="B202" t="s">
        <v>218</v>
      </c>
      <c r="C202">
        <v>1</v>
      </c>
    </row>
    <row r="203" spans="1:3" x14ac:dyDescent="0.3">
      <c r="A203" s="2">
        <v>2021000203</v>
      </c>
      <c r="B203" t="s">
        <v>219</v>
      </c>
      <c r="C203">
        <v>3</v>
      </c>
    </row>
    <row r="204" spans="1:3" x14ac:dyDescent="0.3">
      <c r="A204" s="2">
        <v>2021000204</v>
      </c>
      <c r="B204" t="s">
        <v>220</v>
      </c>
      <c r="C204">
        <v>3</v>
      </c>
    </row>
    <row r="205" spans="1:3" x14ac:dyDescent="0.3">
      <c r="A205" s="2">
        <v>2021000205</v>
      </c>
      <c r="B205" t="s">
        <v>221</v>
      </c>
      <c r="C205">
        <v>6</v>
      </c>
    </row>
    <row r="206" spans="1:3" x14ac:dyDescent="0.3">
      <c r="A206" s="2">
        <v>2021000206</v>
      </c>
      <c r="B206" t="s">
        <v>222</v>
      </c>
      <c r="C206">
        <v>5</v>
      </c>
    </row>
    <row r="207" spans="1:3" x14ac:dyDescent="0.3">
      <c r="A207" s="2">
        <v>2021000207</v>
      </c>
      <c r="B207" t="s">
        <v>223</v>
      </c>
      <c r="C207">
        <v>0</v>
      </c>
    </row>
    <row r="208" spans="1:3" x14ac:dyDescent="0.3">
      <c r="A208" s="2">
        <v>2021000208</v>
      </c>
      <c r="B208" t="s">
        <v>224</v>
      </c>
      <c r="C208">
        <v>0</v>
      </c>
    </row>
    <row r="209" spans="1:3" x14ac:dyDescent="0.3">
      <c r="A209" s="2">
        <v>2021000209</v>
      </c>
      <c r="B209" t="s">
        <v>225</v>
      </c>
      <c r="C209">
        <v>1</v>
      </c>
    </row>
    <row r="210" spans="1:3" x14ac:dyDescent="0.3">
      <c r="A210" s="2">
        <v>2021000210</v>
      </c>
      <c r="B210" t="s">
        <v>226</v>
      </c>
      <c r="C210">
        <v>2</v>
      </c>
    </row>
    <row r="211" spans="1:3" x14ac:dyDescent="0.3">
      <c r="A211" s="2">
        <v>2021000211</v>
      </c>
      <c r="B211" t="s">
        <v>227</v>
      </c>
      <c r="C211">
        <v>4</v>
      </c>
    </row>
    <row r="212" spans="1:3" x14ac:dyDescent="0.3">
      <c r="A212" s="2">
        <v>2021000212</v>
      </c>
      <c r="B212" t="s">
        <v>356</v>
      </c>
      <c r="C212">
        <v>12</v>
      </c>
    </row>
    <row r="213" spans="1:3" x14ac:dyDescent="0.3">
      <c r="A213" s="2">
        <v>2021000213</v>
      </c>
      <c r="B213" t="s">
        <v>228</v>
      </c>
      <c r="C213">
        <v>2</v>
      </c>
    </row>
    <row r="214" spans="1:3" x14ac:dyDescent="0.3">
      <c r="A214" s="2">
        <v>2021000214</v>
      </c>
      <c r="B214" t="s">
        <v>229</v>
      </c>
      <c r="C214">
        <v>8</v>
      </c>
    </row>
    <row r="215" spans="1:3" x14ac:dyDescent="0.3">
      <c r="A215" s="2">
        <v>2021000215</v>
      </c>
      <c r="B215" t="s">
        <v>230</v>
      </c>
      <c r="C215">
        <v>18</v>
      </c>
    </row>
    <row r="216" spans="1:3" x14ac:dyDescent="0.3">
      <c r="A216" s="2">
        <v>2021000216</v>
      </c>
      <c r="B216" t="s">
        <v>231</v>
      </c>
      <c r="C216">
        <v>7</v>
      </c>
    </row>
    <row r="217" spans="1:3" x14ac:dyDescent="0.3">
      <c r="A217" s="2">
        <v>2021000217</v>
      </c>
      <c r="B217" t="s">
        <v>232</v>
      </c>
      <c r="C217">
        <v>3</v>
      </c>
    </row>
    <row r="218" spans="1:3" x14ac:dyDescent="0.3">
      <c r="A218" s="2">
        <v>2021000218</v>
      </c>
      <c r="B218" t="s">
        <v>233</v>
      </c>
      <c r="C218">
        <v>1</v>
      </c>
    </row>
    <row r="219" spans="1:3" x14ac:dyDescent="0.3">
      <c r="A219" s="2">
        <v>2021000219</v>
      </c>
      <c r="B219" t="s">
        <v>234</v>
      </c>
      <c r="C219">
        <v>3</v>
      </c>
    </row>
    <row r="220" spans="1:3" x14ac:dyDescent="0.3">
      <c r="A220" s="2">
        <v>2021000220</v>
      </c>
      <c r="B220" t="s">
        <v>235</v>
      </c>
      <c r="C220">
        <v>2</v>
      </c>
    </row>
    <row r="221" spans="1:3" x14ac:dyDescent="0.3">
      <c r="A221" s="2">
        <v>2021000221</v>
      </c>
      <c r="B221" t="s">
        <v>236</v>
      </c>
      <c r="C221">
        <v>0</v>
      </c>
    </row>
    <row r="222" spans="1:3" x14ac:dyDescent="0.3">
      <c r="A222" s="2">
        <v>2021000222</v>
      </c>
      <c r="B222" t="s">
        <v>237</v>
      </c>
      <c r="C222">
        <v>0</v>
      </c>
    </row>
    <row r="223" spans="1:3" x14ac:dyDescent="0.3">
      <c r="A223" s="2">
        <v>2021000223</v>
      </c>
      <c r="B223" t="s">
        <v>238</v>
      </c>
      <c r="C223">
        <v>6</v>
      </c>
    </row>
    <row r="224" spans="1:3" x14ac:dyDescent="0.3">
      <c r="A224" s="2">
        <v>2021000224</v>
      </c>
      <c r="B224" t="s">
        <v>239</v>
      </c>
      <c r="C224">
        <v>2</v>
      </c>
    </row>
    <row r="225" spans="1:3" x14ac:dyDescent="0.3">
      <c r="A225" s="2">
        <v>2021000225</v>
      </c>
      <c r="B225" t="s">
        <v>240</v>
      </c>
      <c r="C225">
        <v>1</v>
      </c>
    </row>
    <row r="226" spans="1:3" x14ac:dyDescent="0.3">
      <c r="A226" s="2">
        <v>2021000226</v>
      </c>
      <c r="B226" t="s">
        <v>247</v>
      </c>
      <c r="C226">
        <v>2</v>
      </c>
    </row>
    <row r="227" spans="1:3" x14ac:dyDescent="0.3">
      <c r="A227" s="2">
        <v>2021000227</v>
      </c>
      <c r="B227" t="s">
        <v>248</v>
      </c>
      <c r="C227">
        <v>6</v>
      </c>
    </row>
    <row r="228" spans="1:3" x14ac:dyDescent="0.3">
      <c r="A228" s="2">
        <v>2021000228</v>
      </c>
      <c r="B228" t="s">
        <v>249</v>
      </c>
      <c r="C228">
        <v>4</v>
      </c>
    </row>
    <row r="229" spans="1:3" x14ac:dyDescent="0.3">
      <c r="A229" s="2">
        <v>2021000229</v>
      </c>
      <c r="B229" t="s">
        <v>250</v>
      </c>
      <c r="C229">
        <v>2</v>
      </c>
    </row>
    <row r="230" spans="1:3" x14ac:dyDescent="0.3">
      <c r="A230" s="2">
        <v>2021000230</v>
      </c>
      <c r="B230" t="s">
        <v>251</v>
      </c>
      <c r="C230">
        <v>10</v>
      </c>
    </row>
    <row r="231" spans="1:3" x14ac:dyDescent="0.3">
      <c r="A231" s="2">
        <v>2021000231</v>
      </c>
      <c r="B231" t="s">
        <v>252</v>
      </c>
      <c r="C231">
        <v>12</v>
      </c>
    </row>
    <row r="232" spans="1:3" x14ac:dyDescent="0.3">
      <c r="A232" s="2">
        <v>2021000232</v>
      </c>
      <c r="B232" t="s">
        <v>253</v>
      </c>
      <c r="C232">
        <v>2</v>
      </c>
    </row>
    <row r="233" spans="1:3" x14ac:dyDescent="0.3">
      <c r="A233" s="2">
        <v>2021000233</v>
      </c>
      <c r="B233" t="s">
        <v>254</v>
      </c>
      <c r="C233">
        <v>4</v>
      </c>
    </row>
    <row r="234" spans="1:3" x14ac:dyDescent="0.3">
      <c r="A234" s="2">
        <v>2021000234</v>
      </c>
      <c r="B234" t="s">
        <v>258</v>
      </c>
      <c r="C234">
        <v>2</v>
      </c>
    </row>
    <row r="235" spans="1:3" x14ac:dyDescent="0.3">
      <c r="A235" s="2">
        <v>2021000235</v>
      </c>
      <c r="B235" t="s">
        <v>259</v>
      </c>
      <c r="C235">
        <v>0</v>
      </c>
    </row>
    <row r="236" spans="1:3" x14ac:dyDescent="0.3">
      <c r="A236" s="2">
        <v>2021000236</v>
      </c>
      <c r="B236" t="s">
        <v>260</v>
      </c>
      <c r="C236">
        <v>2</v>
      </c>
    </row>
    <row r="237" spans="1:3" x14ac:dyDescent="0.3">
      <c r="A237" s="2">
        <v>2021000226</v>
      </c>
      <c r="B237" t="s">
        <v>247</v>
      </c>
    </row>
    <row r="238" spans="1:3" x14ac:dyDescent="0.3">
      <c r="A238" s="2">
        <v>2021000227</v>
      </c>
      <c r="B238" t="s">
        <v>266</v>
      </c>
    </row>
    <row r="239" spans="1:3" x14ac:dyDescent="0.3">
      <c r="A239" s="2">
        <v>2021000228</v>
      </c>
      <c r="B239" t="s">
        <v>300</v>
      </c>
      <c r="C239">
        <v>2</v>
      </c>
    </row>
    <row r="240" spans="1:3" x14ac:dyDescent="0.3">
      <c r="A240" s="2">
        <v>2021000229</v>
      </c>
      <c r="B240" t="s">
        <v>268</v>
      </c>
      <c r="C240">
        <v>1</v>
      </c>
    </row>
    <row r="241" spans="1:3" x14ac:dyDescent="0.3">
      <c r="A241" s="2">
        <v>2021000230</v>
      </c>
      <c r="B241" t="s">
        <v>269</v>
      </c>
      <c r="C241">
        <v>5</v>
      </c>
    </row>
    <row r="242" spans="1:3" x14ac:dyDescent="0.3">
      <c r="A242" s="2">
        <v>2021000231</v>
      </c>
      <c r="B242" t="s">
        <v>270</v>
      </c>
      <c r="C242">
        <v>6</v>
      </c>
    </row>
    <row r="243" spans="1:3" x14ac:dyDescent="0.3">
      <c r="A243" s="2">
        <v>2021000232</v>
      </c>
      <c r="B243" t="s">
        <v>253</v>
      </c>
      <c r="C243">
        <v>1</v>
      </c>
    </row>
    <row r="244" spans="1:3" x14ac:dyDescent="0.3">
      <c r="A244" s="2">
        <v>2021000233</v>
      </c>
      <c r="B244" t="s">
        <v>254</v>
      </c>
      <c r="C244">
        <v>2</v>
      </c>
    </row>
    <row r="245" spans="1:3" x14ac:dyDescent="0.3">
      <c r="A245" s="2">
        <v>2021000234</v>
      </c>
      <c r="B245" t="s">
        <v>271</v>
      </c>
    </row>
    <row r="246" spans="1:3" x14ac:dyDescent="0.3">
      <c r="A246" s="2">
        <v>2021000235</v>
      </c>
      <c r="B246" t="s">
        <v>259</v>
      </c>
    </row>
    <row r="247" spans="1:3" x14ac:dyDescent="0.3">
      <c r="A247" s="2">
        <v>2021000236</v>
      </c>
      <c r="B247" t="s">
        <v>272</v>
      </c>
    </row>
    <row r="248" spans="1:3" x14ac:dyDescent="0.3">
      <c r="A248" s="2">
        <v>2021000237</v>
      </c>
      <c r="B248" t="s">
        <v>273</v>
      </c>
      <c r="C248">
        <v>5</v>
      </c>
    </row>
    <row r="249" spans="1:3" x14ac:dyDescent="0.3">
      <c r="A249" s="2">
        <v>2021000238</v>
      </c>
      <c r="B249" t="s">
        <v>274</v>
      </c>
      <c r="C249">
        <v>3</v>
      </c>
    </row>
    <row r="250" spans="1:3" x14ac:dyDescent="0.3">
      <c r="A250" s="2">
        <v>2021000239</v>
      </c>
      <c r="B250" t="s">
        <v>275</v>
      </c>
      <c r="C250">
        <v>6</v>
      </c>
    </row>
    <row r="251" spans="1:3" x14ac:dyDescent="0.3">
      <c r="A251" s="2">
        <v>2021000240</v>
      </c>
      <c r="B251" t="s">
        <v>276</v>
      </c>
      <c r="C251">
        <v>0</v>
      </c>
    </row>
    <row r="252" spans="1:3" x14ac:dyDescent="0.3">
      <c r="A252" s="2">
        <v>2021000241</v>
      </c>
      <c r="B252" t="s">
        <v>277</v>
      </c>
      <c r="C252">
        <v>2</v>
      </c>
    </row>
    <row r="253" spans="1:3" x14ac:dyDescent="0.3">
      <c r="A253" s="2">
        <v>2021000242</v>
      </c>
      <c r="B253" t="s">
        <v>278</v>
      </c>
      <c r="C253">
        <v>6</v>
      </c>
    </row>
    <row r="254" spans="1:3" x14ac:dyDescent="0.3">
      <c r="A254" s="2">
        <v>2021000243</v>
      </c>
      <c r="B254" t="s">
        <v>279</v>
      </c>
      <c r="C254">
        <v>8</v>
      </c>
    </row>
    <row r="255" spans="1:3" x14ac:dyDescent="0.3">
      <c r="A255" s="2">
        <v>2021000244</v>
      </c>
      <c r="B255" t="s">
        <v>280</v>
      </c>
      <c r="C255">
        <v>0</v>
      </c>
    </row>
    <row r="256" spans="1:3" x14ac:dyDescent="0.3">
      <c r="A256" s="2">
        <v>2021000245</v>
      </c>
      <c r="B256" t="s">
        <v>281</v>
      </c>
      <c r="C256">
        <v>3</v>
      </c>
    </row>
    <row r="257" spans="1:3" x14ac:dyDescent="0.3">
      <c r="A257" s="2">
        <v>2021000246</v>
      </c>
      <c r="B257" t="s">
        <v>282</v>
      </c>
      <c r="C257">
        <v>4</v>
      </c>
    </row>
    <row r="258" spans="1:3" x14ac:dyDescent="0.3">
      <c r="A258" s="2">
        <v>2021000247</v>
      </c>
      <c r="B258" t="s">
        <v>283</v>
      </c>
      <c r="C258">
        <v>9</v>
      </c>
    </row>
    <row r="259" spans="1:3" x14ac:dyDescent="0.3">
      <c r="A259" s="2">
        <v>2021000248</v>
      </c>
      <c r="B259" t="s">
        <v>284</v>
      </c>
      <c r="C259">
        <v>2</v>
      </c>
    </row>
    <row r="260" spans="1:3" x14ac:dyDescent="0.3">
      <c r="A260" s="2">
        <v>2021000249</v>
      </c>
      <c r="B260" t="s">
        <v>285</v>
      </c>
      <c r="C260">
        <v>3</v>
      </c>
    </row>
    <row r="261" spans="1:3" x14ac:dyDescent="0.3">
      <c r="A261" s="2">
        <v>2021000250</v>
      </c>
      <c r="B261" t="s">
        <v>286</v>
      </c>
      <c r="C261">
        <v>31</v>
      </c>
    </row>
    <row r="262" spans="1:3" x14ac:dyDescent="0.3">
      <c r="A262" s="2">
        <v>2021000251</v>
      </c>
      <c r="B262" t="s">
        <v>287</v>
      </c>
      <c r="C262">
        <v>18</v>
      </c>
    </row>
    <row r="263" spans="1:3" x14ac:dyDescent="0.3">
      <c r="A263" s="2">
        <v>2021000252</v>
      </c>
      <c r="B263" t="s">
        <v>288</v>
      </c>
      <c r="C263">
        <v>3</v>
      </c>
    </row>
    <row r="264" spans="1:3" x14ac:dyDescent="0.3">
      <c r="A264" s="2">
        <v>2021000253</v>
      </c>
      <c r="B264" t="s">
        <v>289</v>
      </c>
      <c r="C264">
        <v>0</v>
      </c>
    </row>
    <row r="265" spans="1:3" x14ac:dyDescent="0.3">
      <c r="A265" s="2">
        <v>2021000254</v>
      </c>
      <c r="B265" t="s">
        <v>297</v>
      </c>
      <c r="C265">
        <v>12</v>
      </c>
    </row>
    <row r="266" spans="1:3" x14ac:dyDescent="0.3">
      <c r="A266" s="2">
        <v>2021000255</v>
      </c>
      <c r="B266" t="s">
        <v>298</v>
      </c>
      <c r="C266">
        <v>9</v>
      </c>
    </row>
    <row r="267" spans="1:3" x14ac:dyDescent="0.3">
      <c r="A267" s="2">
        <v>2021000256</v>
      </c>
      <c r="B267" t="s">
        <v>299</v>
      </c>
      <c r="C267">
        <v>11</v>
      </c>
    </row>
    <row r="268" spans="1:3" x14ac:dyDescent="0.3">
      <c r="A268" s="2">
        <v>2021000257</v>
      </c>
      <c r="B268" t="s">
        <v>360</v>
      </c>
      <c r="C268">
        <v>0</v>
      </c>
    </row>
    <row r="269" spans="1:3" x14ac:dyDescent="0.3">
      <c r="A269" s="2">
        <v>2021000258</v>
      </c>
      <c r="B269" t="s">
        <v>304</v>
      </c>
      <c r="C269">
        <v>33</v>
      </c>
    </row>
    <row r="270" spans="1:3" x14ac:dyDescent="0.3">
      <c r="A270" s="2">
        <v>2021000259</v>
      </c>
      <c r="B270" t="s">
        <v>305</v>
      </c>
      <c r="C270">
        <v>33</v>
      </c>
    </row>
    <row r="271" spans="1:3" x14ac:dyDescent="0.3">
      <c r="A271" s="2">
        <v>2021000260</v>
      </c>
      <c r="B271" t="s">
        <v>306</v>
      </c>
      <c r="C271">
        <v>61</v>
      </c>
    </row>
    <row r="272" spans="1:3" x14ac:dyDescent="0.3">
      <c r="A272" s="2">
        <v>2021000261</v>
      </c>
      <c r="B272" t="s">
        <v>307</v>
      </c>
      <c r="C272">
        <v>1</v>
      </c>
    </row>
    <row r="273" spans="1:3" x14ac:dyDescent="0.3">
      <c r="A273" s="2">
        <v>2021000262</v>
      </c>
      <c r="B273" t="s">
        <v>308</v>
      </c>
      <c r="C273">
        <v>1</v>
      </c>
    </row>
    <row r="274" spans="1:3" x14ac:dyDescent="0.3">
      <c r="A274" s="2">
        <v>2021000263</v>
      </c>
      <c r="B274" t="s">
        <v>309</v>
      </c>
      <c r="C274">
        <v>1</v>
      </c>
    </row>
    <row r="275" spans="1:3" x14ac:dyDescent="0.3">
      <c r="A275" s="2">
        <v>2021000264</v>
      </c>
      <c r="B275" t="s">
        <v>312</v>
      </c>
      <c r="C275">
        <v>7</v>
      </c>
    </row>
    <row r="276" spans="1:3" x14ac:dyDescent="0.3">
      <c r="A276" s="2">
        <v>2021000265</v>
      </c>
      <c r="B276" t="s">
        <v>313</v>
      </c>
      <c r="C276">
        <v>7</v>
      </c>
    </row>
    <row r="277" spans="1:3" x14ac:dyDescent="0.3">
      <c r="A277" s="2">
        <v>2021000266</v>
      </c>
      <c r="B277" t="s">
        <v>314</v>
      </c>
      <c r="C277">
        <v>1</v>
      </c>
    </row>
    <row r="278" spans="1:3" x14ac:dyDescent="0.3">
      <c r="A278" s="2">
        <v>2021000267</v>
      </c>
      <c r="B278" t="s">
        <v>315</v>
      </c>
      <c r="C278">
        <v>2</v>
      </c>
    </row>
    <row r="279" spans="1:3" x14ac:dyDescent="0.3">
      <c r="A279" s="2">
        <v>2021000268</v>
      </c>
      <c r="B279" t="s">
        <v>317</v>
      </c>
      <c r="C279">
        <v>0</v>
      </c>
    </row>
    <row r="280" spans="1:3" x14ac:dyDescent="0.3">
      <c r="A280" s="2">
        <v>2021000269</v>
      </c>
      <c r="B280" t="s">
        <v>318</v>
      </c>
      <c r="C280">
        <v>0</v>
      </c>
    </row>
    <row r="281" spans="1:3" x14ac:dyDescent="0.3">
      <c r="A281" s="2">
        <v>2021000270</v>
      </c>
      <c r="B281" t="s">
        <v>320</v>
      </c>
      <c r="C281">
        <v>0</v>
      </c>
    </row>
    <row r="282" spans="1:3" x14ac:dyDescent="0.3">
      <c r="A282" s="2">
        <v>2021000271</v>
      </c>
      <c r="B282" t="s">
        <v>321</v>
      </c>
      <c r="C282">
        <v>24</v>
      </c>
    </row>
    <row r="283" spans="1:3" x14ac:dyDescent="0.3">
      <c r="A283" s="2">
        <v>2021000272</v>
      </c>
      <c r="B283" t="s">
        <v>322</v>
      </c>
      <c r="C283">
        <v>4</v>
      </c>
    </row>
    <row r="284" spans="1:3" x14ac:dyDescent="0.3">
      <c r="A284" s="2">
        <v>2021000273</v>
      </c>
      <c r="B284" t="s">
        <v>323</v>
      </c>
      <c r="C284">
        <v>17</v>
      </c>
    </row>
    <row r="285" spans="1:3" x14ac:dyDescent="0.3">
      <c r="A285" s="2">
        <v>2021000274</v>
      </c>
      <c r="B285" t="s">
        <v>324</v>
      </c>
      <c r="C285">
        <v>6</v>
      </c>
    </row>
    <row r="286" spans="1:3" x14ac:dyDescent="0.3">
      <c r="A286" s="2">
        <v>2021000275</v>
      </c>
      <c r="B286" t="s">
        <v>325</v>
      </c>
      <c r="C286">
        <v>1</v>
      </c>
    </row>
    <row r="287" spans="1:3" x14ac:dyDescent="0.3">
      <c r="A287" s="2">
        <v>2021000276</v>
      </c>
      <c r="B287" t="s">
        <v>326</v>
      </c>
      <c r="C287">
        <v>0</v>
      </c>
    </row>
    <row r="288" spans="1:3" x14ac:dyDescent="0.3">
      <c r="A288" s="2">
        <v>2021000277</v>
      </c>
      <c r="B288" t="s">
        <v>328</v>
      </c>
      <c r="C288">
        <v>17</v>
      </c>
    </row>
    <row r="289" spans="1:3" x14ac:dyDescent="0.3">
      <c r="A289" s="2">
        <v>2021000278</v>
      </c>
      <c r="B289" t="s">
        <v>330</v>
      </c>
      <c r="C289">
        <v>2</v>
      </c>
    </row>
    <row r="290" spans="1:3" x14ac:dyDescent="0.3">
      <c r="A290" s="2">
        <v>2021000279</v>
      </c>
      <c r="B290" t="s">
        <v>331</v>
      </c>
      <c r="C290">
        <v>0</v>
      </c>
    </row>
    <row r="291" spans="1:3" x14ac:dyDescent="0.3">
      <c r="A291" s="2">
        <v>2021000280</v>
      </c>
      <c r="B291" t="s">
        <v>333</v>
      </c>
      <c r="C291">
        <v>3</v>
      </c>
    </row>
    <row r="292" spans="1:3" x14ac:dyDescent="0.3">
      <c r="A292" s="2">
        <v>2021000281</v>
      </c>
      <c r="B292" t="s">
        <v>334</v>
      </c>
      <c r="C292">
        <v>3</v>
      </c>
    </row>
    <row r="293" spans="1:3" x14ac:dyDescent="0.3">
      <c r="A293" s="2">
        <v>2021000282</v>
      </c>
      <c r="B293" t="s">
        <v>335</v>
      </c>
      <c r="C293">
        <v>0</v>
      </c>
    </row>
    <row r="294" spans="1:3" x14ac:dyDescent="0.3">
      <c r="A294" s="2">
        <v>2021000283</v>
      </c>
      <c r="B294" t="s">
        <v>336</v>
      </c>
      <c r="C294">
        <v>5</v>
      </c>
    </row>
    <row r="295" spans="1:3" x14ac:dyDescent="0.3">
      <c r="A295" s="2">
        <v>2021000284</v>
      </c>
      <c r="B295" t="s">
        <v>337</v>
      </c>
      <c r="C295">
        <v>2</v>
      </c>
    </row>
    <row r="296" spans="1:3" x14ac:dyDescent="0.3">
      <c r="A296" s="2">
        <v>2021000285</v>
      </c>
      <c r="B296" t="s">
        <v>338</v>
      </c>
      <c r="C296">
        <v>2</v>
      </c>
    </row>
    <row r="297" spans="1:3" x14ac:dyDescent="0.3">
      <c r="A297" s="2">
        <v>2021000286</v>
      </c>
      <c r="B297" t="s">
        <v>341</v>
      </c>
      <c r="C297">
        <v>6</v>
      </c>
    </row>
    <row r="298" spans="1:3" x14ac:dyDescent="0.3">
      <c r="A298" s="2">
        <v>2021000287</v>
      </c>
      <c r="B298" t="s">
        <v>342</v>
      </c>
      <c r="C298">
        <v>3</v>
      </c>
    </row>
    <row r="299" spans="1:3" x14ac:dyDescent="0.3">
      <c r="A299" s="2">
        <v>2021000288</v>
      </c>
      <c r="B299" t="s">
        <v>344</v>
      </c>
      <c r="C299">
        <v>0</v>
      </c>
    </row>
    <row r="300" spans="1:3" x14ac:dyDescent="0.3">
      <c r="A300" s="2">
        <v>2021000289</v>
      </c>
      <c r="B300" t="s">
        <v>345</v>
      </c>
      <c r="C300">
        <v>3</v>
      </c>
    </row>
    <row r="301" spans="1:3" x14ac:dyDescent="0.3">
      <c r="A301" s="2">
        <v>2021000290</v>
      </c>
      <c r="B301" t="s">
        <v>346</v>
      </c>
      <c r="C301">
        <v>5</v>
      </c>
    </row>
    <row r="302" spans="1:3" x14ac:dyDescent="0.3">
      <c r="A302" s="2">
        <v>2021000291</v>
      </c>
      <c r="B302" t="s">
        <v>347</v>
      </c>
      <c r="C302">
        <v>9</v>
      </c>
    </row>
    <row r="303" spans="1:3" x14ac:dyDescent="0.3">
      <c r="A303" s="2">
        <v>2021000292</v>
      </c>
      <c r="B303" t="s">
        <v>348</v>
      </c>
      <c r="C303">
        <v>7</v>
      </c>
    </row>
    <row r="304" spans="1:3" x14ac:dyDescent="0.3">
      <c r="A304" s="2">
        <v>2021000293</v>
      </c>
      <c r="B304" t="s">
        <v>349</v>
      </c>
      <c r="C304">
        <v>10</v>
      </c>
    </row>
    <row r="305" spans="1:3" x14ac:dyDescent="0.3">
      <c r="A305" s="2">
        <v>2021000294</v>
      </c>
      <c r="B305" t="s">
        <v>350</v>
      </c>
      <c r="C305">
        <v>0</v>
      </c>
    </row>
    <row r="306" spans="1:3" x14ac:dyDescent="0.3">
      <c r="A306" s="2">
        <v>2021000295</v>
      </c>
      <c r="B306" t="s">
        <v>351</v>
      </c>
      <c r="C306">
        <v>1</v>
      </c>
    </row>
    <row r="307" spans="1:3" x14ac:dyDescent="0.3">
      <c r="A307" s="2">
        <v>2021000296</v>
      </c>
      <c r="B307" t="s">
        <v>352</v>
      </c>
      <c r="C307">
        <v>0</v>
      </c>
    </row>
    <row r="308" spans="1:3" x14ac:dyDescent="0.3">
      <c r="A308" s="2">
        <v>2021000297</v>
      </c>
      <c r="B308" t="s">
        <v>353</v>
      </c>
      <c r="C308">
        <v>2</v>
      </c>
    </row>
    <row r="309" spans="1:3" x14ac:dyDescent="0.3">
      <c r="A309" s="2">
        <v>2021000298</v>
      </c>
      <c r="B309" t="s">
        <v>354</v>
      </c>
      <c r="C309">
        <v>0</v>
      </c>
    </row>
    <row r="310" spans="1:3" x14ac:dyDescent="0.3">
      <c r="A310" s="2">
        <v>2021000299</v>
      </c>
      <c r="B310" t="s">
        <v>355</v>
      </c>
      <c r="C310">
        <v>0</v>
      </c>
    </row>
    <row r="311" spans="1:3" x14ac:dyDescent="0.3">
      <c r="A311" s="2">
        <v>2021000300</v>
      </c>
      <c r="B311" t="s">
        <v>357</v>
      </c>
      <c r="C311">
        <v>10</v>
      </c>
    </row>
    <row r="312" spans="1:3" x14ac:dyDescent="0.3">
      <c r="A312" s="2">
        <v>2021000301</v>
      </c>
      <c r="B312" t="s">
        <v>358</v>
      </c>
      <c r="C312">
        <v>6</v>
      </c>
    </row>
    <row r="313" spans="1:3" x14ac:dyDescent="0.3">
      <c r="A313" s="2">
        <v>2021000302</v>
      </c>
      <c r="B313" t="s">
        <v>359</v>
      </c>
      <c r="C313">
        <v>0</v>
      </c>
    </row>
    <row r="314" spans="1:3" x14ac:dyDescent="0.3">
      <c r="A314" s="2">
        <v>2021000303</v>
      </c>
      <c r="B314" t="s">
        <v>363</v>
      </c>
      <c r="C314">
        <v>0</v>
      </c>
    </row>
    <row r="315" spans="1:3" x14ac:dyDescent="0.3">
      <c r="A315" s="2">
        <v>2021000304</v>
      </c>
      <c r="B315" t="s">
        <v>362</v>
      </c>
      <c r="C315">
        <v>0</v>
      </c>
    </row>
    <row r="316" spans="1:3" x14ac:dyDescent="0.3">
      <c r="A316" s="2">
        <v>2021000305</v>
      </c>
      <c r="B316" t="s">
        <v>364</v>
      </c>
      <c r="C316">
        <v>1</v>
      </c>
    </row>
    <row r="317" spans="1:3" x14ac:dyDescent="0.3">
      <c r="A317" s="2">
        <v>2021000306</v>
      </c>
      <c r="B317" t="s">
        <v>365</v>
      </c>
      <c r="C317">
        <v>1</v>
      </c>
    </row>
    <row r="318" spans="1:3" x14ac:dyDescent="0.3">
      <c r="A318" s="2">
        <v>2021000307</v>
      </c>
      <c r="B318" t="s">
        <v>369</v>
      </c>
      <c r="C318">
        <v>0</v>
      </c>
    </row>
    <row r="319" spans="1:3" x14ac:dyDescent="0.3">
      <c r="A319" s="2">
        <v>2021000308</v>
      </c>
      <c r="B319" t="s">
        <v>370</v>
      </c>
      <c r="C319">
        <v>0</v>
      </c>
    </row>
    <row r="320" spans="1:3" x14ac:dyDescent="0.3">
      <c r="A320" s="2">
        <v>2021000309</v>
      </c>
      <c r="B320" t="s">
        <v>371</v>
      </c>
      <c r="C320">
        <v>0</v>
      </c>
    </row>
    <row r="321" spans="1:3" x14ac:dyDescent="0.3">
      <c r="A321" s="2">
        <v>2021000310</v>
      </c>
      <c r="B321" t="s">
        <v>373</v>
      </c>
      <c r="C321">
        <v>0</v>
      </c>
    </row>
    <row r="322" spans="1:3" x14ac:dyDescent="0.3">
      <c r="A322" s="2">
        <v>2021000311</v>
      </c>
      <c r="B322" t="s">
        <v>372</v>
      </c>
      <c r="C322">
        <v>0</v>
      </c>
    </row>
    <row r="323" spans="1:3" x14ac:dyDescent="0.3">
      <c r="A323" s="2">
        <v>2021000312</v>
      </c>
      <c r="B323" t="s">
        <v>374</v>
      </c>
    </row>
    <row r="324" spans="1:3" x14ac:dyDescent="0.3">
      <c r="A324" s="2">
        <v>2021000313</v>
      </c>
      <c r="B324" t="s">
        <v>375</v>
      </c>
    </row>
    <row r="325" spans="1:3" x14ac:dyDescent="0.3">
      <c r="A325" s="2">
        <v>2021000314</v>
      </c>
      <c r="B325" t="s">
        <v>376</v>
      </c>
    </row>
    <row r="326" spans="1:3" x14ac:dyDescent="0.3">
      <c r="A326" s="2">
        <v>2021000315</v>
      </c>
      <c r="B326" t="s">
        <v>377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C326"/>
  <sheetViews>
    <sheetView workbookViewId="0">
      <selection activeCell="E2" sqref="E2"/>
    </sheetView>
  </sheetViews>
  <sheetFormatPr defaultRowHeight="14.4" x14ac:dyDescent="0.3"/>
  <cols>
    <col min="1" max="1" width="14.109375" bestFit="1" customWidth="1"/>
    <col min="2" max="2" width="27.33203125" bestFit="1" customWidth="1"/>
    <col min="4" max="4" width="9.88671875" bestFit="1" customWidth="1"/>
    <col min="6" max="6" width="10.33203125" bestFit="1" customWidth="1"/>
  </cols>
  <sheetData>
    <row r="1" spans="1:3" x14ac:dyDescent="0.3">
      <c r="A1" t="s">
        <v>0</v>
      </c>
      <c r="B1" t="s">
        <v>1</v>
      </c>
      <c r="C1" t="s">
        <v>316</v>
      </c>
    </row>
    <row r="2" spans="1:3" x14ac:dyDescent="0.3">
      <c r="A2" s="2">
        <v>2021000001</v>
      </c>
      <c r="B2" t="s">
        <v>19</v>
      </c>
      <c r="C2">
        <v>4</v>
      </c>
    </row>
    <row r="3" spans="1:3" x14ac:dyDescent="0.3">
      <c r="A3" s="2">
        <v>2021000002</v>
      </c>
      <c r="B3" t="s">
        <v>29</v>
      </c>
      <c r="C3">
        <v>2</v>
      </c>
    </row>
    <row r="4" spans="1:3" x14ac:dyDescent="0.3">
      <c r="A4" s="2">
        <v>2021000003</v>
      </c>
      <c r="B4" t="s">
        <v>20</v>
      </c>
      <c r="C4">
        <v>1</v>
      </c>
    </row>
    <row r="5" spans="1:3" x14ac:dyDescent="0.3">
      <c r="A5" s="2">
        <v>2021000004</v>
      </c>
      <c r="B5" t="s">
        <v>30</v>
      </c>
      <c r="C5">
        <v>2</v>
      </c>
    </row>
    <row r="6" spans="1:3" x14ac:dyDescent="0.3">
      <c r="A6" s="2">
        <v>2021000005</v>
      </c>
      <c r="B6" t="s">
        <v>310</v>
      </c>
      <c r="C6">
        <v>5</v>
      </c>
    </row>
    <row r="7" spans="1:3" x14ac:dyDescent="0.3">
      <c r="A7" s="2">
        <v>2021000006</v>
      </c>
      <c r="B7" t="s">
        <v>311</v>
      </c>
      <c r="C7">
        <v>8</v>
      </c>
    </row>
    <row r="8" spans="1:3" x14ac:dyDescent="0.3">
      <c r="A8" s="2">
        <v>2021000007</v>
      </c>
      <c r="B8" t="s">
        <v>21</v>
      </c>
      <c r="C8">
        <v>2</v>
      </c>
    </row>
    <row r="9" spans="1:3" x14ac:dyDescent="0.3">
      <c r="A9" s="2">
        <v>2021000008</v>
      </c>
      <c r="B9" t="s">
        <v>22</v>
      </c>
      <c r="C9">
        <v>0</v>
      </c>
    </row>
    <row r="10" spans="1:3" x14ac:dyDescent="0.3">
      <c r="A10" s="2">
        <v>2021000009</v>
      </c>
      <c r="B10" t="s">
        <v>249</v>
      </c>
      <c r="C10">
        <v>2</v>
      </c>
    </row>
    <row r="11" spans="1:3" x14ac:dyDescent="0.3">
      <c r="A11" s="2">
        <v>2021000010</v>
      </c>
      <c r="B11" t="s">
        <v>24</v>
      </c>
      <c r="C11">
        <v>14</v>
      </c>
    </row>
    <row r="12" spans="1:3" x14ac:dyDescent="0.3">
      <c r="A12" s="2">
        <v>2021000011</v>
      </c>
      <c r="B12" t="s">
        <v>27</v>
      </c>
      <c r="C12">
        <v>6</v>
      </c>
    </row>
    <row r="13" spans="1:3" x14ac:dyDescent="0.3">
      <c r="A13" s="2">
        <v>2021000012</v>
      </c>
      <c r="B13" t="s">
        <v>28</v>
      </c>
      <c r="C13">
        <v>4</v>
      </c>
    </row>
    <row r="14" spans="1:3" x14ac:dyDescent="0.3">
      <c r="A14" s="2">
        <v>2021000013</v>
      </c>
      <c r="B14" t="s">
        <v>31</v>
      </c>
      <c r="C14">
        <v>8</v>
      </c>
    </row>
    <row r="15" spans="1:3" x14ac:dyDescent="0.3">
      <c r="A15" s="2">
        <v>2021000014</v>
      </c>
      <c r="B15" t="s">
        <v>32</v>
      </c>
      <c r="C15">
        <v>9</v>
      </c>
    </row>
    <row r="16" spans="1:3" x14ac:dyDescent="0.3">
      <c r="A16" s="2">
        <v>2021000015</v>
      </c>
      <c r="B16" t="s">
        <v>33</v>
      </c>
      <c r="C16">
        <v>15</v>
      </c>
    </row>
    <row r="17" spans="1:3" x14ac:dyDescent="0.3">
      <c r="A17" s="2">
        <v>2021000016</v>
      </c>
      <c r="B17" t="s">
        <v>34</v>
      </c>
      <c r="C17">
        <v>2</v>
      </c>
    </row>
    <row r="18" spans="1:3" x14ac:dyDescent="0.3">
      <c r="A18" s="2">
        <v>2021000017</v>
      </c>
      <c r="B18" t="s">
        <v>35</v>
      </c>
      <c r="C18">
        <v>2</v>
      </c>
    </row>
    <row r="19" spans="1:3" x14ac:dyDescent="0.3">
      <c r="A19" s="2">
        <v>2021000018</v>
      </c>
      <c r="B19" t="s">
        <v>36</v>
      </c>
      <c r="C19">
        <v>0</v>
      </c>
    </row>
    <row r="20" spans="1:3" x14ac:dyDescent="0.3">
      <c r="A20" s="2">
        <v>2021000019</v>
      </c>
      <c r="B20" t="s">
        <v>37</v>
      </c>
      <c r="C20">
        <v>4</v>
      </c>
    </row>
    <row r="21" spans="1:3" x14ac:dyDescent="0.3">
      <c r="A21" s="2">
        <v>2021000020</v>
      </c>
      <c r="B21" t="s">
        <v>38</v>
      </c>
      <c r="C21">
        <v>10</v>
      </c>
    </row>
    <row r="22" spans="1:3" x14ac:dyDescent="0.3">
      <c r="A22" s="2">
        <v>2021000021</v>
      </c>
      <c r="B22" t="s">
        <v>39</v>
      </c>
      <c r="C22">
        <v>7</v>
      </c>
    </row>
    <row r="23" spans="1:3" x14ac:dyDescent="0.3">
      <c r="A23" s="2">
        <v>2021000022</v>
      </c>
      <c r="B23" t="s">
        <v>40</v>
      </c>
      <c r="C23">
        <v>6</v>
      </c>
    </row>
    <row r="24" spans="1:3" x14ac:dyDescent="0.3">
      <c r="A24" s="2">
        <v>2021000023</v>
      </c>
      <c r="B24" t="s">
        <v>41</v>
      </c>
      <c r="C24">
        <v>0</v>
      </c>
    </row>
    <row r="25" spans="1:3" x14ac:dyDescent="0.3">
      <c r="A25" s="2">
        <v>2021000024</v>
      </c>
      <c r="B25" t="s">
        <v>42</v>
      </c>
      <c r="C25">
        <v>2</v>
      </c>
    </row>
    <row r="26" spans="1:3" x14ac:dyDescent="0.3">
      <c r="A26" s="2">
        <v>2021000025</v>
      </c>
      <c r="B26" t="s">
        <v>43</v>
      </c>
      <c r="C26">
        <v>3</v>
      </c>
    </row>
    <row r="27" spans="1:3" x14ac:dyDescent="0.3">
      <c r="A27" s="2">
        <v>2021000026</v>
      </c>
      <c r="B27" t="s">
        <v>44</v>
      </c>
      <c r="C27">
        <v>7</v>
      </c>
    </row>
    <row r="28" spans="1:3" x14ac:dyDescent="0.3">
      <c r="A28" s="2">
        <v>2021000027</v>
      </c>
      <c r="B28" t="s">
        <v>45</v>
      </c>
      <c r="C28">
        <v>6</v>
      </c>
    </row>
    <row r="29" spans="1:3" x14ac:dyDescent="0.3">
      <c r="A29" s="2">
        <v>2021000028</v>
      </c>
      <c r="B29" t="s">
        <v>46</v>
      </c>
      <c r="C29">
        <v>6</v>
      </c>
    </row>
    <row r="30" spans="1:3" x14ac:dyDescent="0.3">
      <c r="A30" s="2">
        <v>2021000029</v>
      </c>
      <c r="B30" t="s">
        <v>47</v>
      </c>
      <c r="C30">
        <v>7</v>
      </c>
    </row>
    <row r="31" spans="1:3" x14ac:dyDescent="0.3">
      <c r="A31" s="2">
        <v>2021000030</v>
      </c>
      <c r="B31" t="s">
        <v>48</v>
      </c>
      <c r="C31">
        <v>7</v>
      </c>
    </row>
    <row r="32" spans="1:3" x14ac:dyDescent="0.3">
      <c r="A32" s="2">
        <v>2021000031</v>
      </c>
      <c r="B32" t="s">
        <v>49</v>
      </c>
      <c r="C32">
        <v>4</v>
      </c>
    </row>
    <row r="33" spans="1:3" x14ac:dyDescent="0.3">
      <c r="A33" s="2">
        <v>2021000032</v>
      </c>
      <c r="B33" t="s">
        <v>50</v>
      </c>
      <c r="C33">
        <v>7</v>
      </c>
    </row>
    <row r="34" spans="1:3" x14ac:dyDescent="0.3">
      <c r="A34" s="2">
        <v>2021000033</v>
      </c>
      <c r="B34" t="s">
        <v>51</v>
      </c>
      <c r="C34">
        <v>5</v>
      </c>
    </row>
    <row r="35" spans="1:3" x14ac:dyDescent="0.3">
      <c r="A35" s="2">
        <v>2021000034</v>
      </c>
      <c r="B35" t="s">
        <v>52</v>
      </c>
      <c r="C35">
        <v>24</v>
      </c>
    </row>
    <row r="36" spans="1:3" x14ac:dyDescent="0.3">
      <c r="A36" s="2">
        <v>2021000035</v>
      </c>
      <c r="B36" t="s">
        <v>53</v>
      </c>
      <c r="C36">
        <v>7</v>
      </c>
    </row>
    <row r="37" spans="1:3" x14ac:dyDescent="0.3">
      <c r="A37" s="2">
        <v>2021000036</v>
      </c>
      <c r="B37" t="s">
        <v>54</v>
      </c>
      <c r="C37">
        <v>2</v>
      </c>
    </row>
    <row r="38" spans="1:3" x14ac:dyDescent="0.3">
      <c r="A38" s="2">
        <v>2021000037</v>
      </c>
      <c r="B38" t="s">
        <v>55</v>
      </c>
      <c r="C38">
        <v>0</v>
      </c>
    </row>
    <row r="39" spans="1:3" x14ac:dyDescent="0.3">
      <c r="A39" s="2">
        <v>2021000038</v>
      </c>
      <c r="B39" t="s">
        <v>56</v>
      </c>
      <c r="C39">
        <v>0</v>
      </c>
    </row>
    <row r="40" spans="1:3" x14ac:dyDescent="0.3">
      <c r="A40" s="2">
        <v>2021000039</v>
      </c>
      <c r="B40" t="s">
        <v>57</v>
      </c>
      <c r="C40">
        <v>0</v>
      </c>
    </row>
    <row r="41" spans="1:3" x14ac:dyDescent="0.3">
      <c r="A41" s="2">
        <v>2021000040</v>
      </c>
      <c r="B41" t="s">
        <v>58</v>
      </c>
      <c r="C41">
        <v>2</v>
      </c>
    </row>
    <row r="42" spans="1:3" x14ac:dyDescent="0.3">
      <c r="A42" s="2">
        <v>2021000041</v>
      </c>
      <c r="B42" t="s">
        <v>59</v>
      </c>
      <c r="C42">
        <v>1</v>
      </c>
    </row>
    <row r="43" spans="1:3" x14ac:dyDescent="0.3">
      <c r="A43" s="2">
        <v>2021000042</v>
      </c>
      <c r="B43" t="s">
        <v>255</v>
      </c>
      <c r="C43">
        <v>0</v>
      </c>
    </row>
    <row r="44" spans="1:3" x14ac:dyDescent="0.3">
      <c r="A44" s="2">
        <v>2021000043</v>
      </c>
      <c r="B44" t="s">
        <v>256</v>
      </c>
      <c r="C44">
        <v>9</v>
      </c>
    </row>
    <row r="45" spans="1:3" x14ac:dyDescent="0.3">
      <c r="A45" s="2">
        <v>2021000044</v>
      </c>
      <c r="B45" t="s">
        <v>257</v>
      </c>
      <c r="C45">
        <v>0</v>
      </c>
    </row>
    <row r="46" spans="1:3" x14ac:dyDescent="0.3">
      <c r="A46" s="2">
        <v>2021000045</v>
      </c>
      <c r="B46" t="s">
        <v>63</v>
      </c>
      <c r="C46">
        <v>9</v>
      </c>
    </row>
    <row r="47" spans="1:3" x14ac:dyDescent="0.3">
      <c r="A47" s="2">
        <v>2021000046</v>
      </c>
      <c r="B47" t="s">
        <v>64</v>
      </c>
      <c r="C47">
        <v>0</v>
      </c>
    </row>
    <row r="48" spans="1:3" x14ac:dyDescent="0.3">
      <c r="A48" s="2">
        <v>2021000047</v>
      </c>
      <c r="B48" t="s">
        <v>65</v>
      </c>
      <c r="C48">
        <v>5</v>
      </c>
    </row>
    <row r="49" spans="1:3" x14ac:dyDescent="0.3">
      <c r="A49" s="2">
        <v>2021000048</v>
      </c>
      <c r="B49" t="s">
        <v>66</v>
      </c>
      <c r="C49">
        <v>0</v>
      </c>
    </row>
    <row r="50" spans="1:3" x14ac:dyDescent="0.3">
      <c r="A50" s="2">
        <v>2021000049</v>
      </c>
      <c r="B50" t="s">
        <v>67</v>
      </c>
      <c r="C50">
        <v>0</v>
      </c>
    </row>
    <row r="51" spans="1:3" x14ac:dyDescent="0.3">
      <c r="A51" s="2">
        <v>2021000050</v>
      </c>
      <c r="B51" t="s">
        <v>68</v>
      </c>
      <c r="C51">
        <v>0</v>
      </c>
    </row>
    <row r="52" spans="1:3" x14ac:dyDescent="0.3">
      <c r="A52" s="2">
        <v>2021000051</v>
      </c>
      <c r="B52" t="s">
        <v>69</v>
      </c>
      <c r="C52">
        <v>15</v>
      </c>
    </row>
    <row r="53" spans="1:3" x14ac:dyDescent="0.3">
      <c r="A53" s="2">
        <v>2021000052</v>
      </c>
      <c r="B53" t="s">
        <v>70</v>
      </c>
      <c r="C53">
        <v>3</v>
      </c>
    </row>
    <row r="54" spans="1:3" x14ac:dyDescent="0.3">
      <c r="A54" s="2">
        <v>2021000053</v>
      </c>
      <c r="B54" t="s">
        <v>71</v>
      </c>
      <c r="C54">
        <v>0</v>
      </c>
    </row>
    <row r="55" spans="1:3" x14ac:dyDescent="0.3">
      <c r="A55" s="2">
        <v>2021000054</v>
      </c>
      <c r="B55" t="s">
        <v>72</v>
      </c>
      <c r="C55">
        <v>9</v>
      </c>
    </row>
    <row r="56" spans="1:3" x14ac:dyDescent="0.3">
      <c r="A56" s="2">
        <v>2021000055</v>
      </c>
      <c r="B56" t="s">
        <v>73</v>
      </c>
      <c r="C56">
        <v>3</v>
      </c>
    </row>
    <row r="57" spans="1:3" x14ac:dyDescent="0.3">
      <c r="A57" s="2">
        <v>2021000056</v>
      </c>
      <c r="B57" t="s">
        <v>74</v>
      </c>
      <c r="C57">
        <v>0</v>
      </c>
    </row>
    <row r="58" spans="1:3" x14ac:dyDescent="0.3">
      <c r="A58" s="2">
        <v>2021000057</v>
      </c>
      <c r="B58" t="s">
        <v>75</v>
      </c>
      <c r="C58">
        <v>5</v>
      </c>
    </row>
    <row r="59" spans="1:3" x14ac:dyDescent="0.3">
      <c r="A59" s="2">
        <v>2021000058</v>
      </c>
      <c r="B59" t="s">
        <v>76</v>
      </c>
      <c r="C59">
        <v>4</v>
      </c>
    </row>
    <row r="60" spans="1:3" x14ac:dyDescent="0.3">
      <c r="A60" s="2">
        <v>2021000059</v>
      </c>
      <c r="B60" t="s">
        <v>77</v>
      </c>
      <c r="C60">
        <v>2</v>
      </c>
    </row>
    <row r="61" spans="1:3" x14ac:dyDescent="0.3">
      <c r="A61" s="2">
        <v>2021000060</v>
      </c>
      <c r="B61" t="s">
        <v>78</v>
      </c>
      <c r="C61">
        <v>0</v>
      </c>
    </row>
    <row r="62" spans="1:3" x14ac:dyDescent="0.3">
      <c r="A62" s="2">
        <v>2021000061</v>
      </c>
      <c r="B62" t="s">
        <v>79</v>
      </c>
      <c r="C62">
        <v>3</v>
      </c>
    </row>
    <row r="63" spans="1:3" x14ac:dyDescent="0.3">
      <c r="A63" s="2">
        <v>2021000062</v>
      </c>
      <c r="B63" t="s">
        <v>80</v>
      </c>
      <c r="C63">
        <v>3</v>
      </c>
    </row>
    <row r="64" spans="1:3" x14ac:dyDescent="0.3">
      <c r="A64" s="2">
        <v>2021000063</v>
      </c>
      <c r="B64" t="s">
        <v>81</v>
      </c>
      <c r="C64">
        <v>4</v>
      </c>
    </row>
    <row r="65" spans="1:3" x14ac:dyDescent="0.3">
      <c r="A65" s="2">
        <v>2021000064</v>
      </c>
      <c r="B65" t="s">
        <v>82</v>
      </c>
      <c r="C65">
        <v>0</v>
      </c>
    </row>
    <row r="66" spans="1:3" x14ac:dyDescent="0.3">
      <c r="A66" s="2">
        <v>2021000065</v>
      </c>
      <c r="B66" t="s">
        <v>83</v>
      </c>
      <c r="C66">
        <v>3</v>
      </c>
    </row>
    <row r="67" spans="1:3" x14ac:dyDescent="0.3">
      <c r="A67" s="2">
        <v>2021000066</v>
      </c>
      <c r="B67" t="s">
        <v>84</v>
      </c>
      <c r="C67">
        <v>2</v>
      </c>
    </row>
    <row r="68" spans="1:3" x14ac:dyDescent="0.3">
      <c r="A68" s="2">
        <v>2021000067</v>
      </c>
      <c r="B68" t="s">
        <v>85</v>
      </c>
      <c r="C68">
        <v>0</v>
      </c>
    </row>
    <row r="69" spans="1:3" x14ac:dyDescent="0.3">
      <c r="A69" s="2">
        <v>2021000068</v>
      </c>
      <c r="B69" t="s">
        <v>86</v>
      </c>
      <c r="C69">
        <v>2</v>
      </c>
    </row>
    <row r="70" spans="1:3" x14ac:dyDescent="0.3">
      <c r="A70" s="2">
        <v>2021000069</v>
      </c>
      <c r="B70" t="s">
        <v>87</v>
      </c>
      <c r="C70">
        <v>0</v>
      </c>
    </row>
    <row r="71" spans="1:3" x14ac:dyDescent="0.3">
      <c r="A71" s="2">
        <v>2021000070</v>
      </c>
      <c r="B71" t="s">
        <v>89</v>
      </c>
      <c r="C71">
        <v>0</v>
      </c>
    </row>
    <row r="72" spans="1:3" x14ac:dyDescent="0.3">
      <c r="A72" s="2">
        <v>2021000071</v>
      </c>
      <c r="B72" t="s">
        <v>88</v>
      </c>
      <c r="C72">
        <v>6</v>
      </c>
    </row>
    <row r="73" spans="1:3" x14ac:dyDescent="0.3">
      <c r="A73" s="2">
        <v>2021000072</v>
      </c>
      <c r="B73" t="s">
        <v>90</v>
      </c>
      <c r="C73">
        <v>0</v>
      </c>
    </row>
    <row r="74" spans="1:3" x14ac:dyDescent="0.3">
      <c r="A74" s="2">
        <v>2021000073</v>
      </c>
      <c r="B74" t="s">
        <v>91</v>
      </c>
      <c r="C74">
        <v>0</v>
      </c>
    </row>
    <row r="75" spans="1:3" x14ac:dyDescent="0.3">
      <c r="A75" s="2">
        <v>2021000074</v>
      </c>
      <c r="B75" t="s">
        <v>93</v>
      </c>
      <c r="C75">
        <v>0</v>
      </c>
    </row>
    <row r="76" spans="1:3" x14ac:dyDescent="0.3">
      <c r="A76" s="2">
        <v>2021000075</v>
      </c>
      <c r="B76" t="s">
        <v>92</v>
      </c>
      <c r="C76">
        <v>0</v>
      </c>
    </row>
    <row r="77" spans="1:3" x14ac:dyDescent="0.3">
      <c r="A77" s="2">
        <v>2021000076</v>
      </c>
      <c r="B77" t="s">
        <v>94</v>
      </c>
      <c r="C77">
        <v>0</v>
      </c>
    </row>
    <row r="78" spans="1:3" x14ac:dyDescent="0.3">
      <c r="A78" s="2">
        <v>2021000077</v>
      </c>
      <c r="B78" t="s">
        <v>95</v>
      </c>
      <c r="C78">
        <v>0</v>
      </c>
    </row>
    <row r="79" spans="1:3" x14ac:dyDescent="0.3">
      <c r="A79" s="2">
        <v>2021000078</v>
      </c>
      <c r="B79" t="s">
        <v>261</v>
      </c>
      <c r="C79">
        <v>19</v>
      </c>
    </row>
    <row r="80" spans="1:3" x14ac:dyDescent="0.3">
      <c r="A80" s="2">
        <v>2021000079</v>
      </c>
      <c r="B80" t="s">
        <v>97</v>
      </c>
      <c r="C80">
        <v>0</v>
      </c>
    </row>
    <row r="81" spans="1:3" x14ac:dyDescent="0.3">
      <c r="A81" s="2">
        <v>2021000080</v>
      </c>
      <c r="B81" t="s">
        <v>262</v>
      </c>
      <c r="C81">
        <v>38</v>
      </c>
    </row>
    <row r="82" spans="1:3" x14ac:dyDescent="0.3">
      <c r="A82" s="2">
        <v>2021000081</v>
      </c>
      <c r="B82" t="s">
        <v>99</v>
      </c>
      <c r="C82">
        <v>0</v>
      </c>
    </row>
    <row r="83" spans="1:3" x14ac:dyDescent="0.3">
      <c r="A83" s="2">
        <v>2021000082</v>
      </c>
      <c r="B83" t="s">
        <v>100</v>
      </c>
      <c r="C83">
        <v>1</v>
      </c>
    </row>
    <row r="84" spans="1:3" x14ac:dyDescent="0.3">
      <c r="A84" s="2">
        <v>2021000083</v>
      </c>
      <c r="B84" t="s">
        <v>101</v>
      </c>
      <c r="C84">
        <v>0</v>
      </c>
    </row>
    <row r="85" spans="1:3" x14ac:dyDescent="0.3">
      <c r="A85" s="2">
        <v>2021000084</v>
      </c>
      <c r="B85" t="s">
        <v>102</v>
      </c>
      <c r="C85">
        <v>7</v>
      </c>
    </row>
    <row r="86" spans="1:3" x14ac:dyDescent="0.3">
      <c r="A86" s="2">
        <v>2021000085</v>
      </c>
      <c r="B86" t="s">
        <v>103</v>
      </c>
      <c r="C86">
        <v>0</v>
      </c>
    </row>
    <row r="87" spans="1:3" x14ac:dyDescent="0.3">
      <c r="A87" s="2">
        <v>2021000086</v>
      </c>
      <c r="B87" t="s">
        <v>104</v>
      </c>
      <c r="C87">
        <v>5</v>
      </c>
    </row>
    <row r="88" spans="1:3" x14ac:dyDescent="0.3">
      <c r="A88" s="2">
        <v>2021000087</v>
      </c>
      <c r="B88" t="s">
        <v>105</v>
      </c>
      <c r="C88">
        <v>8</v>
      </c>
    </row>
    <row r="89" spans="1:3" x14ac:dyDescent="0.3">
      <c r="A89" s="2">
        <v>2021000088</v>
      </c>
      <c r="B89" t="s">
        <v>106</v>
      </c>
      <c r="C89">
        <v>9</v>
      </c>
    </row>
    <row r="90" spans="1:3" x14ac:dyDescent="0.3">
      <c r="A90" s="2">
        <v>2021000089</v>
      </c>
      <c r="B90" t="s">
        <v>107</v>
      </c>
      <c r="C90">
        <v>30</v>
      </c>
    </row>
    <row r="91" spans="1:3" x14ac:dyDescent="0.3">
      <c r="A91" s="2">
        <v>2021000090</v>
      </c>
      <c r="B91" t="s">
        <v>108</v>
      </c>
      <c r="C91">
        <v>29</v>
      </c>
    </row>
    <row r="92" spans="1:3" x14ac:dyDescent="0.3">
      <c r="A92" s="2">
        <v>2021000091</v>
      </c>
      <c r="B92" t="s">
        <v>109</v>
      </c>
      <c r="C92">
        <v>6</v>
      </c>
    </row>
    <row r="93" spans="1:3" x14ac:dyDescent="0.3">
      <c r="A93" s="2">
        <v>2021000092</v>
      </c>
      <c r="B93" t="s">
        <v>110</v>
      </c>
      <c r="C93">
        <v>6</v>
      </c>
    </row>
    <row r="94" spans="1:3" x14ac:dyDescent="0.3">
      <c r="A94" s="2">
        <v>2021000093</v>
      </c>
      <c r="B94" t="s">
        <v>111</v>
      </c>
      <c r="C94">
        <v>7</v>
      </c>
    </row>
    <row r="95" spans="1:3" x14ac:dyDescent="0.3">
      <c r="A95" s="2">
        <v>2021000094</v>
      </c>
      <c r="B95" t="s">
        <v>112</v>
      </c>
      <c r="C95">
        <v>14</v>
      </c>
    </row>
    <row r="96" spans="1:3" x14ac:dyDescent="0.3">
      <c r="A96" s="2">
        <v>2021000095</v>
      </c>
      <c r="B96" t="s">
        <v>113</v>
      </c>
      <c r="C96">
        <v>7</v>
      </c>
    </row>
    <row r="97" spans="1:3" x14ac:dyDescent="0.3">
      <c r="A97" s="2">
        <v>2021000096</v>
      </c>
      <c r="B97" t="s">
        <v>114</v>
      </c>
      <c r="C97">
        <v>6</v>
      </c>
    </row>
    <row r="98" spans="1:3" x14ac:dyDescent="0.3">
      <c r="A98" s="2">
        <v>2021000097</v>
      </c>
      <c r="B98" t="s">
        <v>115</v>
      </c>
      <c r="C98">
        <v>10</v>
      </c>
    </row>
    <row r="99" spans="1:3" x14ac:dyDescent="0.3">
      <c r="A99" s="2">
        <v>2021000098</v>
      </c>
      <c r="B99" t="s">
        <v>116</v>
      </c>
      <c r="C99">
        <v>11</v>
      </c>
    </row>
    <row r="100" spans="1:3" x14ac:dyDescent="0.3">
      <c r="A100" s="2">
        <v>2021000099</v>
      </c>
      <c r="B100" t="s">
        <v>117</v>
      </c>
      <c r="C100">
        <v>7</v>
      </c>
    </row>
    <row r="101" spans="1:3" x14ac:dyDescent="0.3">
      <c r="A101" s="2">
        <v>2021000100</v>
      </c>
      <c r="B101" t="s">
        <v>118</v>
      </c>
      <c r="C101">
        <v>3</v>
      </c>
    </row>
    <row r="102" spans="1:3" x14ac:dyDescent="0.3">
      <c r="A102" s="2">
        <v>2021000101</v>
      </c>
      <c r="B102" t="s">
        <v>119</v>
      </c>
      <c r="C102">
        <v>2</v>
      </c>
    </row>
    <row r="103" spans="1:3" x14ac:dyDescent="0.3">
      <c r="A103" s="2">
        <v>2021000102</v>
      </c>
      <c r="B103" t="s">
        <v>120</v>
      </c>
      <c r="C103">
        <v>2</v>
      </c>
    </row>
    <row r="104" spans="1:3" x14ac:dyDescent="0.3">
      <c r="A104" s="2">
        <v>2021000103</v>
      </c>
      <c r="B104" t="s">
        <v>121</v>
      </c>
      <c r="C104">
        <v>8</v>
      </c>
    </row>
    <row r="105" spans="1:3" x14ac:dyDescent="0.3">
      <c r="A105" s="2">
        <v>2021000104</v>
      </c>
      <c r="B105" t="s">
        <v>122</v>
      </c>
      <c r="C105">
        <v>1</v>
      </c>
    </row>
    <row r="106" spans="1:3" x14ac:dyDescent="0.3">
      <c r="A106" s="2">
        <v>2021000105</v>
      </c>
      <c r="B106" t="s">
        <v>123</v>
      </c>
      <c r="C106">
        <v>9</v>
      </c>
    </row>
    <row r="107" spans="1:3" x14ac:dyDescent="0.3">
      <c r="A107" s="2">
        <v>2021000106</v>
      </c>
      <c r="B107" t="s">
        <v>124</v>
      </c>
      <c r="C107">
        <v>5</v>
      </c>
    </row>
    <row r="108" spans="1:3" x14ac:dyDescent="0.3">
      <c r="A108" s="2">
        <v>2021000107</v>
      </c>
      <c r="B108" t="s">
        <v>125</v>
      </c>
      <c r="C108">
        <v>5</v>
      </c>
    </row>
    <row r="109" spans="1:3" x14ac:dyDescent="0.3">
      <c r="A109" s="2">
        <v>2021000108</v>
      </c>
      <c r="B109" t="s">
        <v>126</v>
      </c>
      <c r="C109">
        <v>6</v>
      </c>
    </row>
    <row r="110" spans="1:3" x14ac:dyDescent="0.3">
      <c r="A110" s="2">
        <v>2021000109</v>
      </c>
      <c r="B110" t="s">
        <v>127</v>
      </c>
      <c r="C110">
        <v>1</v>
      </c>
    </row>
    <row r="111" spans="1:3" x14ac:dyDescent="0.3">
      <c r="A111" s="2">
        <v>2021000110</v>
      </c>
      <c r="B111" t="s">
        <v>128</v>
      </c>
      <c r="C111">
        <v>1</v>
      </c>
    </row>
    <row r="112" spans="1:3" x14ac:dyDescent="0.3">
      <c r="A112" s="2">
        <v>2021000111</v>
      </c>
      <c r="B112" t="s">
        <v>129</v>
      </c>
      <c r="C112">
        <v>1</v>
      </c>
    </row>
    <row r="113" spans="1:3" x14ac:dyDescent="0.3">
      <c r="A113" s="2">
        <v>2021000112</v>
      </c>
      <c r="B113" t="s">
        <v>130</v>
      </c>
      <c r="C113">
        <v>1</v>
      </c>
    </row>
    <row r="114" spans="1:3" x14ac:dyDescent="0.3">
      <c r="A114" s="2">
        <v>2021000113</v>
      </c>
      <c r="B114" t="s">
        <v>131</v>
      </c>
      <c r="C114">
        <v>1</v>
      </c>
    </row>
    <row r="115" spans="1:3" x14ac:dyDescent="0.3">
      <c r="A115" s="2">
        <v>2021000114</v>
      </c>
      <c r="B115" t="s">
        <v>132</v>
      </c>
      <c r="C115">
        <v>1</v>
      </c>
    </row>
    <row r="116" spans="1:3" x14ac:dyDescent="0.3">
      <c r="A116" s="2">
        <v>2021000115</v>
      </c>
      <c r="B116" t="s">
        <v>133</v>
      </c>
      <c r="C116">
        <v>0</v>
      </c>
    </row>
    <row r="117" spans="1:3" x14ac:dyDescent="0.3">
      <c r="A117" s="2">
        <v>2021000116</v>
      </c>
      <c r="B117" t="s">
        <v>134</v>
      </c>
      <c r="C117">
        <v>1</v>
      </c>
    </row>
    <row r="118" spans="1:3" x14ac:dyDescent="0.3">
      <c r="A118" s="2">
        <v>2021000117</v>
      </c>
      <c r="B118" t="s">
        <v>135</v>
      </c>
      <c r="C118">
        <v>11</v>
      </c>
    </row>
    <row r="119" spans="1:3" x14ac:dyDescent="0.3">
      <c r="A119" s="2">
        <v>2021000118</v>
      </c>
      <c r="B119" t="s">
        <v>136</v>
      </c>
      <c r="C119">
        <v>7</v>
      </c>
    </row>
    <row r="120" spans="1:3" x14ac:dyDescent="0.3">
      <c r="A120" s="2">
        <v>2021000119</v>
      </c>
      <c r="B120" t="s">
        <v>137</v>
      </c>
      <c r="C120">
        <v>5</v>
      </c>
    </row>
    <row r="121" spans="1:3" x14ac:dyDescent="0.3">
      <c r="A121" s="2">
        <v>2021000120</v>
      </c>
      <c r="B121" t="s">
        <v>138</v>
      </c>
      <c r="C121">
        <v>12</v>
      </c>
    </row>
    <row r="122" spans="1:3" x14ac:dyDescent="0.3">
      <c r="A122" s="2">
        <v>2021000121</v>
      </c>
      <c r="B122" t="s">
        <v>139</v>
      </c>
      <c r="C122">
        <v>2</v>
      </c>
    </row>
    <row r="123" spans="1:3" x14ac:dyDescent="0.3">
      <c r="A123" s="2">
        <v>2021000122</v>
      </c>
      <c r="B123" t="s">
        <v>140</v>
      </c>
      <c r="C123">
        <v>11</v>
      </c>
    </row>
    <row r="124" spans="1:3" x14ac:dyDescent="0.3">
      <c r="A124" s="2">
        <v>2021000123</v>
      </c>
      <c r="B124" t="s">
        <v>141</v>
      </c>
      <c r="C124">
        <v>8</v>
      </c>
    </row>
    <row r="125" spans="1:3" x14ac:dyDescent="0.3">
      <c r="A125" s="2">
        <v>2021000124</v>
      </c>
      <c r="B125" t="s">
        <v>142</v>
      </c>
      <c r="C125">
        <v>5</v>
      </c>
    </row>
    <row r="126" spans="1:3" x14ac:dyDescent="0.3">
      <c r="A126" s="2">
        <v>2021000125</v>
      </c>
      <c r="B126" t="s">
        <v>143</v>
      </c>
      <c r="C126">
        <v>6</v>
      </c>
    </row>
    <row r="127" spans="1:3" x14ac:dyDescent="0.3">
      <c r="A127" s="2">
        <v>2021000126</v>
      </c>
      <c r="B127" t="s">
        <v>144</v>
      </c>
      <c r="C127">
        <v>3</v>
      </c>
    </row>
    <row r="128" spans="1:3" x14ac:dyDescent="0.3">
      <c r="A128" s="2">
        <v>2021000127</v>
      </c>
      <c r="B128" t="s">
        <v>145</v>
      </c>
      <c r="C128">
        <v>0</v>
      </c>
    </row>
    <row r="129" spans="1:3" x14ac:dyDescent="0.3">
      <c r="A129" s="2">
        <v>2021000128</v>
      </c>
      <c r="B129" t="s">
        <v>146</v>
      </c>
      <c r="C129">
        <v>1</v>
      </c>
    </row>
    <row r="130" spans="1:3" x14ac:dyDescent="0.3">
      <c r="A130" s="2">
        <v>2021000129</v>
      </c>
      <c r="B130" t="s">
        <v>147</v>
      </c>
      <c r="C130">
        <v>0</v>
      </c>
    </row>
    <row r="131" spans="1:3" x14ac:dyDescent="0.3">
      <c r="A131" s="2">
        <v>2021000130</v>
      </c>
      <c r="B131" t="s">
        <v>148</v>
      </c>
      <c r="C131">
        <v>11</v>
      </c>
    </row>
    <row r="132" spans="1:3" x14ac:dyDescent="0.3">
      <c r="A132" s="2">
        <v>2021000131</v>
      </c>
      <c r="B132" t="s">
        <v>149</v>
      </c>
      <c r="C132">
        <v>10</v>
      </c>
    </row>
    <row r="133" spans="1:3" x14ac:dyDescent="0.3">
      <c r="A133" s="2">
        <v>2021000132</v>
      </c>
      <c r="B133" t="s">
        <v>150</v>
      </c>
      <c r="C133">
        <v>0</v>
      </c>
    </row>
    <row r="134" spans="1:3" x14ac:dyDescent="0.3">
      <c r="A134" s="2">
        <v>2021000133</v>
      </c>
      <c r="B134" t="s">
        <v>151</v>
      </c>
      <c r="C134">
        <v>5</v>
      </c>
    </row>
    <row r="135" spans="1:3" x14ac:dyDescent="0.3">
      <c r="A135" s="2">
        <v>2021000134</v>
      </c>
      <c r="B135" t="s">
        <v>152</v>
      </c>
      <c r="C135">
        <v>0</v>
      </c>
    </row>
    <row r="136" spans="1:3" x14ac:dyDescent="0.3">
      <c r="A136" s="2">
        <v>2021000135</v>
      </c>
      <c r="B136" t="s">
        <v>153</v>
      </c>
      <c r="C136">
        <v>5</v>
      </c>
    </row>
    <row r="137" spans="1:3" x14ac:dyDescent="0.3">
      <c r="A137" s="2">
        <v>2021000136</v>
      </c>
      <c r="B137" t="s">
        <v>154</v>
      </c>
      <c r="C137">
        <v>4</v>
      </c>
    </row>
    <row r="138" spans="1:3" x14ac:dyDescent="0.3">
      <c r="A138" s="2">
        <v>2021000137</v>
      </c>
      <c r="B138" t="s">
        <v>155</v>
      </c>
      <c r="C138">
        <v>2</v>
      </c>
    </row>
    <row r="139" spans="1:3" x14ac:dyDescent="0.3">
      <c r="A139" s="2">
        <v>2021000138</v>
      </c>
      <c r="B139" t="s">
        <v>156</v>
      </c>
      <c r="C139">
        <v>2</v>
      </c>
    </row>
    <row r="140" spans="1:3" x14ac:dyDescent="0.3">
      <c r="A140" s="2">
        <v>2021000139</v>
      </c>
      <c r="B140" t="s">
        <v>157</v>
      </c>
      <c r="C140">
        <v>1</v>
      </c>
    </row>
    <row r="141" spans="1:3" x14ac:dyDescent="0.3">
      <c r="A141" s="2">
        <v>2021000140</v>
      </c>
      <c r="B141" t="s">
        <v>158</v>
      </c>
      <c r="C141">
        <v>0</v>
      </c>
    </row>
    <row r="142" spans="1:3" x14ac:dyDescent="0.3">
      <c r="A142" s="2">
        <v>2021000141</v>
      </c>
      <c r="B142" t="s">
        <v>159</v>
      </c>
      <c r="C142">
        <v>1</v>
      </c>
    </row>
    <row r="143" spans="1:3" x14ac:dyDescent="0.3">
      <c r="A143" s="2">
        <v>2021000142</v>
      </c>
      <c r="B143" t="s">
        <v>160</v>
      </c>
      <c r="C143">
        <v>2</v>
      </c>
    </row>
    <row r="144" spans="1:3" x14ac:dyDescent="0.3">
      <c r="A144" s="2">
        <v>2021000143</v>
      </c>
      <c r="B144" t="s">
        <v>161</v>
      </c>
      <c r="C144">
        <v>1</v>
      </c>
    </row>
    <row r="145" spans="1:3" x14ac:dyDescent="0.3">
      <c r="A145" s="2">
        <v>2021000144</v>
      </c>
      <c r="B145" t="s">
        <v>162</v>
      </c>
      <c r="C145">
        <v>3</v>
      </c>
    </row>
    <row r="146" spans="1:3" x14ac:dyDescent="0.3">
      <c r="A146" s="2">
        <v>2021000145</v>
      </c>
      <c r="B146" t="s">
        <v>343</v>
      </c>
      <c r="C146">
        <v>6</v>
      </c>
    </row>
    <row r="147" spans="1:3" x14ac:dyDescent="0.3">
      <c r="A147" s="2">
        <v>2021000146</v>
      </c>
      <c r="B147" t="s">
        <v>163</v>
      </c>
      <c r="C147">
        <v>1</v>
      </c>
    </row>
    <row r="148" spans="1:3" x14ac:dyDescent="0.3">
      <c r="A148" s="2">
        <v>2021000147</v>
      </c>
      <c r="B148" t="s">
        <v>164</v>
      </c>
      <c r="C148">
        <v>2</v>
      </c>
    </row>
    <row r="149" spans="1:3" x14ac:dyDescent="0.3">
      <c r="A149" s="2">
        <v>2021000148</v>
      </c>
      <c r="B149" t="s">
        <v>165</v>
      </c>
      <c r="C149">
        <v>0</v>
      </c>
    </row>
    <row r="150" spans="1:3" x14ac:dyDescent="0.3">
      <c r="A150" s="2">
        <v>2021000149</v>
      </c>
      <c r="B150" t="s">
        <v>166</v>
      </c>
      <c r="C150">
        <v>5</v>
      </c>
    </row>
    <row r="151" spans="1:3" x14ac:dyDescent="0.3">
      <c r="A151" s="2">
        <v>2021000150</v>
      </c>
      <c r="B151" t="s">
        <v>167</v>
      </c>
      <c r="C151">
        <v>3</v>
      </c>
    </row>
    <row r="152" spans="1:3" x14ac:dyDescent="0.3">
      <c r="A152" s="2">
        <v>2021000151</v>
      </c>
      <c r="B152" t="s">
        <v>168</v>
      </c>
      <c r="C152">
        <v>10</v>
      </c>
    </row>
    <row r="153" spans="1:3" x14ac:dyDescent="0.3">
      <c r="A153" s="2">
        <v>2021000152</v>
      </c>
      <c r="B153" t="s">
        <v>169</v>
      </c>
      <c r="C153">
        <v>6</v>
      </c>
    </row>
    <row r="154" spans="1:3" x14ac:dyDescent="0.3">
      <c r="A154" s="2">
        <v>2021000153</v>
      </c>
      <c r="B154" t="s">
        <v>170</v>
      </c>
      <c r="C154">
        <v>6</v>
      </c>
    </row>
    <row r="155" spans="1:3" x14ac:dyDescent="0.3">
      <c r="A155" s="2">
        <v>2021000154</v>
      </c>
      <c r="B155" t="s">
        <v>171</v>
      </c>
      <c r="C155">
        <v>3</v>
      </c>
    </row>
    <row r="156" spans="1:3" x14ac:dyDescent="0.3">
      <c r="A156" s="2">
        <v>2021000155</v>
      </c>
      <c r="B156" t="s">
        <v>172</v>
      </c>
      <c r="C156">
        <v>4</v>
      </c>
    </row>
    <row r="157" spans="1:3" x14ac:dyDescent="0.3">
      <c r="A157" s="2">
        <v>2021000156</v>
      </c>
      <c r="B157" t="s">
        <v>173</v>
      </c>
      <c r="C157">
        <v>2</v>
      </c>
    </row>
    <row r="158" spans="1:3" x14ac:dyDescent="0.3">
      <c r="A158" s="2">
        <v>2021000157</v>
      </c>
      <c r="B158" t="s">
        <v>368</v>
      </c>
      <c r="C158">
        <v>23</v>
      </c>
    </row>
    <row r="159" spans="1:3" x14ac:dyDescent="0.3">
      <c r="A159" s="2">
        <v>2021000158</v>
      </c>
      <c r="B159" t="s">
        <v>175</v>
      </c>
      <c r="C159">
        <v>1</v>
      </c>
    </row>
    <row r="160" spans="1:3" x14ac:dyDescent="0.3">
      <c r="A160" s="2">
        <v>2021000159</v>
      </c>
      <c r="B160" t="s">
        <v>176</v>
      </c>
      <c r="C160">
        <v>13</v>
      </c>
    </row>
    <row r="161" spans="1:3" x14ac:dyDescent="0.3">
      <c r="A161" s="2">
        <v>2021000160</v>
      </c>
      <c r="B161" t="s">
        <v>177</v>
      </c>
      <c r="C161">
        <v>3</v>
      </c>
    </row>
    <row r="162" spans="1:3" x14ac:dyDescent="0.3">
      <c r="A162" s="2">
        <v>2021000161</v>
      </c>
      <c r="B162" t="s">
        <v>178</v>
      </c>
      <c r="C162">
        <v>26</v>
      </c>
    </row>
    <row r="163" spans="1:3" x14ac:dyDescent="0.3">
      <c r="A163" s="2">
        <v>2021000162</v>
      </c>
      <c r="B163" t="s">
        <v>179</v>
      </c>
      <c r="C163">
        <v>0</v>
      </c>
    </row>
    <row r="164" spans="1:3" x14ac:dyDescent="0.3">
      <c r="A164" s="2">
        <v>2021000163</v>
      </c>
      <c r="B164" t="s">
        <v>180</v>
      </c>
      <c r="C164">
        <v>4</v>
      </c>
    </row>
    <row r="165" spans="1:3" x14ac:dyDescent="0.3">
      <c r="A165" s="2">
        <v>2021000165</v>
      </c>
      <c r="B165" t="s">
        <v>181</v>
      </c>
      <c r="C165">
        <v>5</v>
      </c>
    </row>
    <row r="166" spans="1:3" x14ac:dyDescent="0.3">
      <c r="A166" s="2">
        <v>2021000166</v>
      </c>
      <c r="B166" t="s">
        <v>182</v>
      </c>
      <c r="C166">
        <v>8</v>
      </c>
    </row>
    <row r="167" spans="1:3" x14ac:dyDescent="0.3">
      <c r="A167" s="2">
        <v>2021000167</v>
      </c>
      <c r="B167" t="s">
        <v>183</v>
      </c>
      <c r="C167">
        <v>4</v>
      </c>
    </row>
    <row r="168" spans="1:3" x14ac:dyDescent="0.3">
      <c r="A168" s="2">
        <v>2021000168</v>
      </c>
      <c r="B168" t="s">
        <v>184</v>
      </c>
      <c r="C168">
        <v>4</v>
      </c>
    </row>
    <row r="169" spans="1:3" x14ac:dyDescent="0.3">
      <c r="A169" s="2">
        <v>2021000169</v>
      </c>
      <c r="B169" t="s">
        <v>263</v>
      </c>
      <c r="C169">
        <v>0</v>
      </c>
    </row>
    <row r="170" spans="1:3" x14ac:dyDescent="0.3">
      <c r="A170" s="2">
        <v>2021000170</v>
      </c>
      <c r="B170" t="s">
        <v>264</v>
      </c>
      <c r="C170">
        <v>5</v>
      </c>
    </row>
    <row r="171" spans="1:3" x14ac:dyDescent="0.3">
      <c r="A171" s="2">
        <v>2021000171</v>
      </c>
      <c r="B171" t="s">
        <v>265</v>
      </c>
      <c r="C171">
        <v>4</v>
      </c>
    </row>
    <row r="172" spans="1:3" x14ac:dyDescent="0.3">
      <c r="A172" s="2">
        <v>2021000172</v>
      </c>
      <c r="B172" t="s">
        <v>188</v>
      </c>
      <c r="C172">
        <v>4</v>
      </c>
    </row>
    <row r="173" spans="1:3" x14ac:dyDescent="0.3">
      <c r="A173" s="2">
        <v>2021000173</v>
      </c>
      <c r="B173" t="s">
        <v>192</v>
      </c>
      <c r="C173">
        <v>3</v>
      </c>
    </row>
    <row r="174" spans="1:3" x14ac:dyDescent="0.3">
      <c r="A174" s="2">
        <v>2021000174</v>
      </c>
      <c r="B174" t="s">
        <v>189</v>
      </c>
      <c r="C174">
        <v>13</v>
      </c>
    </row>
    <row r="175" spans="1:3" x14ac:dyDescent="0.3">
      <c r="A175" s="2">
        <v>2021000175</v>
      </c>
      <c r="B175" t="s">
        <v>190</v>
      </c>
      <c r="C175">
        <v>12</v>
      </c>
    </row>
    <row r="176" spans="1:3" x14ac:dyDescent="0.3">
      <c r="A176" s="2">
        <v>2021000176</v>
      </c>
      <c r="B176" t="s">
        <v>191</v>
      </c>
      <c r="C176">
        <v>8</v>
      </c>
    </row>
    <row r="177" spans="1:3" x14ac:dyDescent="0.3">
      <c r="A177" s="2">
        <v>2021000177</v>
      </c>
      <c r="B177" t="s">
        <v>193</v>
      </c>
      <c r="C177">
        <v>0</v>
      </c>
    </row>
    <row r="178" spans="1:3" x14ac:dyDescent="0.3">
      <c r="A178" s="2">
        <v>2021000178</v>
      </c>
      <c r="B178" t="s">
        <v>194</v>
      </c>
      <c r="C178">
        <v>5</v>
      </c>
    </row>
    <row r="179" spans="1:3" x14ac:dyDescent="0.3">
      <c r="A179" s="2">
        <v>2021000179</v>
      </c>
      <c r="B179" t="s">
        <v>195</v>
      </c>
      <c r="C179">
        <v>94</v>
      </c>
    </row>
    <row r="180" spans="1:3" x14ac:dyDescent="0.3">
      <c r="A180" s="2">
        <v>2021000180</v>
      </c>
      <c r="B180" t="s">
        <v>196</v>
      </c>
      <c r="C180">
        <v>50</v>
      </c>
    </row>
    <row r="181" spans="1:3" x14ac:dyDescent="0.3">
      <c r="A181" s="2">
        <v>2021000181</v>
      </c>
      <c r="B181" t="s">
        <v>197</v>
      </c>
      <c r="C181">
        <v>54</v>
      </c>
    </row>
    <row r="182" spans="1:3" x14ac:dyDescent="0.3">
      <c r="A182" s="2">
        <v>2021000182</v>
      </c>
      <c r="B182" t="s">
        <v>198</v>
      </c>
      <c r="C182">
        <v>5</v>
      </c>
    </row>
    <row r="183" spans="1:3" x14ac:dyDescent="0.3">
      <c r="A183" s="2">
        <v>2021000183</v>
      </c>
      <c r="B183" t="s">
        <v>199</v>
      </c>
      <c r="C183">
        <v>10</v>
      </c>
    </row>
    <row r="184" spans="1:3" x14ac:dyDescent="0.3">
      <c r="A184" s="2">
        <v>2021000184</v>
      </c>
      <c r="B184" t="s">
        <v>200</v>
      </c>
      <c r="C184">
        <v>1</v>
      </c>
    </row>
    <row r="185" spans="1:3" x14ac:dyDescent="0.3">
      <c r="A185" s="2">
        <v>2021000185</v>
      </c>
      <c r="B185" t="s">
        <v>201</v>
      </c>
      <c r="C185">
        <v>6</v>
      </c>
    </row>
    <row r="186" spans="1:3" x14ac:dyDescent="0.3">
      <c r="A186" s="2">
        <v>2021000186</v>
      </c>
      <c r="B186" t="s">
        <v>202</v>
      </c>
      <c r="C186">
        <v>4</v>
      </c>
    </row>
    <row r="187" spans="1:3" x14ac:dyDescent="0.3">
      <c r="A187" s="2">
        <v>2021000187</v>
      </c>
      <c r="B187" t="s">
        <v>203</v>
      </c>
      <c r="C187">
        <v>0</v>
      </c>
    </row>
    <row r="188" spans="1:3" x14ac:dyDescent="0.3">
      <c r="A188" s="2">
        <v>2021000188</v>
      </c>
      <c r="B188" t="s">
        <v>204</v>
      </c>
      <c r="C188">
        <v>3</v>
      </c>
    </row>
    <row r="189" spans="1:3" x14ac:dyDescent="0.3">
      <c r="A189" s="2">
        <v>2021000189</v>
      </c>
      <c r="B189" t="s">
        <v>205</v>
      </c>
      <c r="C189">
        <v>4</v>
      </c>
    </row>
    <row r="190" spans="1:3" x14ac:dyDescent="0.3">
      <c r="A190" s="2">
        <v>2021000190</v>
      </c>
      <c r="B190" t="s">
        <v>206</v>
      </c>
      <c r="C190">
        <v>12</v>
      </c>
    </row>
    <row r="191" spans="1:3" x14ac:dyDescent="0.3">
      <c r="A191" s="2">
        <v>2021000191</v>
      </c>
      <c r="B191" t="s">
        <v>207</v>
      </c>
      <c r="C191">
        <v>0</v>
      </c>
    </row>
    <row r="192" spans="1:3" x14ac:dyDescent="0.3">
      <c r="A192" s="2">
        <v>2021000192</v>
      </c>
      <c r="B192" t="s">
        <v>208</v>
      </c>
      <c r="C192">
        <v>6</v>
      </c>
    </row>
    <row r="193" spans="1:3" x14ac:dyDescent="0.3">
      <c r="A193" s="2">
        <v>2021000193</v>
      </c>
      <c r="B193" t="s">
        <v>209</v>
      </c>
      <c r="C193">
        <v>2</v>
      </c>
    </row>
    <row r="194" spans="1:3" x14ac:dyDescent="0.3">
      <c r="A194" s="2">
        <v>2021000194</v>
      </c>
      <c r="B194" t="s">
        <v>210</v>
      </c>
      <c r="C194">
        <v>1</v>
      </c>
    </row>
    <row r="195" spans="1:3" x14ac:dyDescent="0.3">
      <c r="A195" s="2">
        <v>2021000195</v>
      </c>
      <c r="B195" t="s">
        <v>211</v>
      </c>
      <c r="C195">
        <v>19</v>
      </c>
    </row>
    <row r="196" spans="1:3" x14ac:dyDescent="0.3">
      <c r="A196" s="2">
        <v>2021000196</v>
      </c>
      <c r="B196" t="s">
        <v>212</v>
      </c>
      <c r="C196">
        <v>1</v>
      </c>
    </row>
    <row r="197" spans="1:3" x14ac:dyDescent="0.3">
      <c r="A197" s="2">
        <v>2021000197</v>
      </c>
      <c r="B197" t="s">
        <v>213</v>
      </c>
      <c r="C197">
        <v>2</v>
      </c>
    </row>
    <row r="198" spans="1:3" x14ac:dyDescent="0.3">
      <c r="A198" s="2">
        <v>2021000198</v>
      </c>
      <c r="B198" t="s">
        <v>214</v>
      </c>
      <c r="C198">
        <v>2</v>
      </c>
    </row>
    <row r="199" spans="1:3" x14ac:dyDescent="0.3">
      <c r="A199" s="2">
        <v>2021000199</v>
      </c>
      <c r="B199" t="s">
        <v>215</v>
      </c>
      <c r="C199">
        <v>0</v>
      </c>
    </row>
    <row r="200" spans="1:3" x14ac:dyDescent="0.3">
      <c r="A200" s="2">
        <v>2021000200</v>
      </c>
      <c r="B200" t="s">
        <v>216</v>
      </c>
      <c r="C200">
        <v>23</v>
      </c>
    </row>
    <row r="201" spans="1:3" x14ac:dyDescent="0.3">
      <c r="A201" s="2">
        <v>2021000201</v>
      </c>
      <c r="B201" t="s">
        <v>217</v>
      </c>
      <c r="C201">
        <v>12</v>
      </c>
    </row>
    <row r="202" spans="1:3" x14ac:dyDescent="0.3">
      <c r="A202" s="2">
        <v>2021000202</v>
      </c>
      <c r="B202" t="s">
        <v>218</v>
      </c>
      <c r="C202">
        <v>1</v>
      </c>
    </row>
    <row r="203" spans="1:3" x14ac:dyDescent="0.3">
      <c r="A203" s="2">
        <v>2021000203</v>
      </c>
      <c r="B203" t="s">
        <v>219</v>
      </c>
      <c r="C203">
        <v>3</v>
      </c>
    </row>
    <row r="204" spans="1:3" x14ac:dyDescent="0.3">
      <c r="A204" s="2">
        <v>2021000204</v>
      </c>
      <c r="B204" t="s">
        <v>220</v>
      </c>
      <c r="C204">
        <v>3</v>
      </c>
    </row>
    <row r="205" spans="1:3" x14ac:dyDescent="0.3">
      <c r="A205" s="2">
        <v>2021000205</v>
      </c>
      <c r="B205" t="s">
        <v>221</v>
      </c>
      <c r="C205">
        <v>6</v>
      </c>
    </row>
    <row r="206" spans="1:3" x14ac:dyDescent="0.3">
      <c r="A206" s="2">
        <v>2021000206</v>
      </c>
      <c r="B206" t="s">
        <v>222</v>
      </c>
      <c r="C206">
        <v>5</v>
      </c>
    </row>
    <row r="207" spans="1:3" x14ac:dyDescent="0.3">
      <c r="A207" s="2">
        <v>2021000207</v>
      </c>
      <c r="B207" t="s">
        <v>223</v>
      </c>
      <c r="C207">
        <v>0</v>
      </c>
    </row>
    <row r="208" spans="1:3" x14ac:dyDescent="0.3">
      <c r="A208" s="2">
        <v>2021000208</v>
      </c>
      <c r="B208" t="s">
        <v>224</v>
      </c>
      <c r="C208">
        <v>0</v>
      </c>
    </row>
    <row r="209" spans="1:3" x14ac:dyDescent="0.3">
      <c r="A209" s="2">
        <v>2021000209</v>
      </c>
      <c r="B209" t="s">
        <v>225</v>
      </c>
      <c r="C209">
        <v>1</v>
      </c>
    </row>
    <row r="210" spans="1:3" x14ac:dyDescent="0.3">
      <c r="A210" s="2">
        <v>2021000210</v>
      </c>
      <c r="B210" t="s">
        <v>226</v>
      </c>
      <c r="C210">
        <v>2</v>
      </c>
    </row>
    <row r="211" spans="1:3" x14ac:dyDescent="0.3">
      <c r="A211" s="2">
        <v>2021000211</v>
      </c>
      <c r="B211" t="s">
        <v>227</v>
      </c>
      <c r="C211">
        <v>4</v>
      </c>
    </row>
    <row r="212" spans="1:3" x14ac:dyDescent="0.3">
      <c r="A212" s="2">
        <v>2021000212</v>
      </c>
      <c r="B212" t="s">
        <v>356</v>
      </c>
      <c r="C212">
        <v>12</v>
      </c>
    </row>
    <row r="213" spans="1:3" x14ac:dyDescent="0.3">
      <c r="A213" s="2">
        <v>2021000213</v>
      </c>
      <c r="B213" t="s">
        <v>228</v>
      </c>
      <c r="C213">
        <v>2</v>
      </c>
    </row>
    <row r="214" spans="1:3" x14ac:dyDescent="0.3">
      <c r="A214" s="2">
        <v>2021000214</v>
      </c>
      <c r="B214" t="s">
        <v>229</v>
      </c>
      <c r="C214">
        <v>8</v>
      </c>
    </row>
    <row r="215" spans="1:3" x14ac:dyDescent="0.3">
      <c r="A215" s="2">
        <v>2021000215</v>
      </c>
      <c r="B215" t="s">
        <v>230</v>
      </c>
      <c r="C215">
        <v>18</v>
      </c>
    </row>
    <row r="216" spans="1:3" x14ac:dyDescent="0.3">
      <c r="A216" s="2">
        <v>2021000216</v>
      </c>
      <c r="B216" t="s">
        <v>231</v>
      </c>
      <c r="C216">
        <v>7</v>
      </c>
    </row>
    <row r="217" spans="1:3" x14ac:dyDescent="0.3">
      <c r="A217" s="2">
        <v>2021000217</v>
      </c>
      <c r="B217" t="s">
        <v>232</v>
      </c>
      <c r="C217">
        <v>3</v>
      </c>
    </row>
    <row r="218" spans="1:3" x14ac:dyDescent="0.3">
      <c r="A218" s="2">
        <v>2021000218</v>
      </c>
      <c r="B218" t="s">
        <v>233</v>
      </c>
      <c r="C218">
        <v>1</v>
      </c>
    </row>
    <row r="219" spans="1:3" x14ac:dyDescent="0.3">
      <c r="A219" s="2">
        <v>2021000219</v>
      </c>
      <c r="B219" t="s">
        <v>234</v>
      </c>
      <c r="C219">
        <v>3</v>
      </c>
    </row>
    <row r="220" spans="1:3" x14ac:dyDescent="0.3">
      <c r="A220" s="2">
        <v>2021000220</v>
      </c>
      <c r="B220" t="s">
        <v>235</v>
      </c>
      <c r="C220">
        <v>2</v>
      </c>
    </row>
    <row r="221" spans="1:3" x14ac:dyDescent="0.3">
      <c r="A221" s="2">
        <v>2021000221</v>
      </c>
      <c r="B221" t="s">
        <v>236</v>
      </c>
      <c r="C221">
        <v>0</v>
      </c>
    </row>
    <row r="222" spans="1:3" x14ac:dyDescent="0.3">
      <c r="A222" s="2">
        <v>2021000222</v>
      </c>
      <c r="B222" t="s">
        <v>237</v>
      </c>
      <c r="C222">
        <v>0</v>
      </c>
    </row>
    <row r="223" spans="1:3" x14ac:dyDescent="0.3">
      <c r="A223" s="2">
        <v>2021000223</v>
      </c>
      <c r="B223" t="s">
        <v>238</v>
      </c>
      <c r="C223">
        <v>6</v>
      </c>
    </row>
    <row r="224" spans="1:3" x14ac:dyDescent="0.3">
      <c r="A224" s="2">
        <v>2021000224</v>
      </c>
      <c r="B224" t="s">
        <v>239</v>
      </c>
      <c r="C224">
        <v>2</v>
      </c>
    </row>
    <row r="225" spans="1:3" x14ac:dyDescent="0.3">
      <c r="A225" s="2">
        <v>2021000225</v>
      </c>
      <c r="B225" t="s">
        <v>240</v>
      </c>
      <c r="C225">
        <v>1</v>
      </c>
    </row>
    <row r="226" spans="1:3" x14ac:dyDescent="0.3">
      <c r="A226" s="2">
        <v>2021000226</v>
      </c>
      <c r="B226" t="s">
        <v>247</v>
      </c>
      <c r="C226">
        <v>2</v>
      </c>
    </row>
    <row r="227" spans="1:3" x14ac:dyDescent="0.3">
      <c r="A227" s="2">
        <v>2021000227</v>
      </c>
      <c r="B227" t="s">
        <v>248</v>
      </c>
      <c r="C227">
        <v>6</v>
      </c>
    </row>
    <row r="228" spans="1:3" x14ac:dyDescent="0.3">
      <c r="A228" s="2">
        <v>2021000228</v>
      </c>
      <c r="B228" t="s">
        <v>249</v>
      </c>
      <c r="C228">
        <v>4</v>
      </c>
    </row>
    <row r="229" spans="1:3" x14ac:dyDescent="0.3">
      <c r="A229" s="2">
        <v>2021000229</v>
      </c>
      <c r="B229" t="s">
        <v>250</v>
      </c>
      <c r="C229">
        <v>2</v>
      </c>
    </row>
    <row r="230" spans="1:3" x14ac:dyDescent="0.3">
      <c r="A230" s="2">
        <v>2021000230</v>
      </c>
      <c r="B230" t="s">
        <v>251</v>
      </c>
      <c r="C230">
        <v>10</v>
      </c>
    </row>
    <row r="231" spans="1:3" x14ac:dyDescent="0.3">
      <c r="A231" s="2">
        <v>2021000231</v>
      </c>
      <c r="B231" t="s">
        <v>252</v>
      </c>
      <c r="C231">
        <v>12</v>
      </c>
    </row>
    <row r="232" spans="1:3" x14ac:dyDescent="0.3">
      <c r="A232" s="2">
        <v>2021000232</v>
      </c>
      <c r="B232" t="s">
        <v>253</v>
      </c>
      <c r="C232">
        <v>2</v>
      </c>
    </row>
    <row r="233" spans="1:3" x14ac:dyDescent="0.3">
      <c r="A233" s="2">
        <v>2021000233</v>
      </c>
      <c r="B233" t="s">
        <v>254</v>
      </c>
      <c r="C233">
        <v>4</v>
      </c>
    </row>
    <row r="234" spans="1:3" x14ac:dyDescent="0.3">
      <c r="A234" s="2">
        <v>2021000234</v>
      </c>
      <c r="B234" t="s">
        <v>258</v>
      </c>
      <c r="C234">
        <v>2</v>
      </c>
    </row>
    <row r="235" spans="1:3" x14ac:dyDescent="0.3">
      <c r="A235" s="2">
        <v>2021000235</v>
      </c>
      <c r="B235" t="s">
        <v>259</v>
      </c>
      <c r="C235">
        <v>0</v>
      </c>
    </row>
    <row r="236" spans="1:3" x14ac:dyDescent="0.3">
      <c r="A236" s="2">
        <v>2021000236</v>
      </c>
      <c r="B236" t="s">
        <v>260</v>
      </c>
      <c r="C236">
        <v>2</v>
      </c>
    </row>
    <row r="237" spans="1:3" x14ac:dyDescent="0.3">
      <c r="A237" s="2">
        <v>2021000226</v>
      </c>
      <c r="B237" t="s">
        <v>247</v>
      </c>
    </row>
    <row r="238" spans="1:3" x14ac:dyDescent="0.3">
      <c r="A238" s="2">
        <v>2021000227</v>
      </c>
      <c r="B238" t="s">
        <v>266</v>
      </c>
    </row>
    <row r="239" spans="1:3" x14ac:dyDescent="0.3">
      <c r="A239" s="2">
        <v>2021000228</v>
      </c>
      <c r="B239" t="s">
        <v>300</v>
      </c>
      <c r="C239">
        <v>2</v>
      </c>
    </row>
    <row r="240" spans="1:3" x14ac:dyDescent="0.3">
      <c r="A240" s="2">
        <v>2021000229</v>
      </c>
      <c r="B240" t="s">
        <v>268</v>
      </c>
      <c r="C240">
        <v>1</v>
      </c>
    </row>
    <row r="241" spans="1:3" x14ac:dyDescent="0.3">
      <c r="A241" s="2">
        <v>2021000230</v>
      </c>
      <c r="B241" t="s">
        <v>269</v>
      </c>
      <c r="C241">
        <v>5</v>
      </c>
    </row>
    <row r="242" spans="1:3" x14ac:dyDescent="0.3">
      <c r="A242" s="2">
        <v>2021000231</v>
      </c>
      <c r="B242" t="s">
        <v>270</v>
      </c>
      <c r="C242">
        <v>6</v>
      </c>
    </row>
    <row r="243" spans="1:3" x14ac:dyDescent="0.3">
      <c r="A243" s="2">
        <v>2021000232</v>
      </c>
      <c r="B243" t="s">
        <v>253</v>
      </c>
      <c r="C243">
        <v>1</v>
      </c>
    </row>
    <row r="244" spans="1:3" x14ac:dyDescent="0.3">
      <c r="A244" s="2">
        <v>2021000233</v>
      </c>
      <c r="B244" t="s">
        <v>254</v>
      </c>
      <c r="C244">
        <v>2</v>
      </c>
    </row>
    <row r="245" spans="1:3" x14ac:dyDescent="0.3">
      <c r="A245" s="2">
        <v>2021000234</v>
      </c>
      <c r="B245" t="s">
        <v>271</v>
      </c>
    </row>
    <row r="246" spans="1:3" x14ac:dyDescent="0.3">
      <c r="A246" s="2">
        <v>2021000235</v>
      </c>
      <c r="B246" t="s">
        <v>259</v>
      </c>
    </row>
    <row r="247" spans="1:3" x14ac:dyDescent="0.3">
      <c r="A247" s="2">
        <v>2021000236</v>
      </c>
      <c r="B247" t="s">
        <v>272</v>
      </c>
    </row>
    <row r="248" spans="1:3" x14ac:dyDescent="0.3">
      <c r="A248" s="2">
        <v>2021000237</v>
      </c>
      <c r="B248" t="s">
        <v>273</v>
      </c>
      <c r="C248">
        <v>5</v>
      </c>
    </row>
    <row r="249" spans="1:3" x14ac:dyDescent="0.3">
      <c r="A249" s="2">
        <v>2021000238</v>
      </c>
      <c r="B249" t="s">
        <v>274</v>
      </c>
      <c r="C249">
        <v>3</v>
      </c>
    </row>
    <row r="250" spans="1:3" x14ac:dyDescent="0.3">
      <c r="A250" s="2">
        <v>2021000239</v>
      </c>
      <c r="B250" t="s">
        <v>275</v>
      </c>
      <c r="C250">
        <v>6</v>
      </c>
    </row>
    <row r="251" spans="1:3" x14ac:dyDescent="0.3">
      <c r="A251" s="2">
        <v>2021000240</v>
      </c>
      <c r="B251" t="s">
        <v>276</v>
      </c>
      <c r="C251">
        <v>0</v>
      </c>
    </row>
    <row r="252" spans="1:3" x14ac:dyDescent="0.3">
      <c r="A252" s="2">
        <v>2021000241</v>
      </c>
      <c r="B252" t="s">
        <v>277</v>
      </c>
      <c r="C252">
        <v>2</v>
      </c>
    </row>
    <row r="253" spans="1:3" x14ac:dyDescent="0.3">
      <c r="A253" s="2">
        <v>2021000242</v>
      </c>
      <c r="B253" t="s">
        <v>278</v>
      </c>
      <c r="C253">
        <v>6</v>
      </c>
    </row>
    <row r="254" spans="1:3" x14ac:dyDescent="0.3">
      <c r="A254" s="2">
        <v>2021000243</v>
      </c>
      <c r="B254" t="s">
        <v>279</v>
      </c>
      <c r="C254">
        <v>8</v>
      </c>
    </row>
    <row r="255" spans="1:3" x14ac:dyDescent="0.3">
      <c r="A255" s="2">
        <v>2021000244</v>
      </c>
      <c r="B255" t="s">
        <v>280</v>
      </c>
      <c r="C255">
        <v>0</v>
      </c>
    </row>
    <row r="256" spans="1:3" x14ac:dyDescent="0.3">
      <c r="A256" s="2">
        <v>2021000245</v>
      </c>
      <c r="B256" t="s">
        <v>281</v>
      </c>
      <c r="C256">
        <v>3</v>
      </c>
    </row>
    <row r="257" spans="1:3" x14ac:dyDescent="0.3">
      <c r="A257" s="2">
        <v>2021000246</v>
      </c>
      <c r="B257" t="s">
        <v>282</v>
      </c>
      <c r="C257">
        <v>4</v>
      </c>
    </row>
    <row r="258" spans="1:3" x14ac:dyDescent="0.3">
      <c r="A258" s="2">
        <v>2021000247</v>
      </c>
      <c r="B258" t="s">
        <v>283</v>
      </c>
      <c r="C258">
        <v>9</v>
      </c>
    </row>
    <row r="259" spans="1:3" x14ac:dyDescent="0.3">
      <c r="A259" s="2">
        <v>2021000248</v>
      </c>
      <c r="B259" t="s">
        <v>284</v>
      </c>
      <c r="C259">
        <v>2</v>
      </c>
    </row>
    <row r="260" spans="1:3" x14ac:dyDescent="0.3">
      <c r="A260" s="2">
        <v>2021000249</v>
      </c>
      <c r="B260" t="s">
        <v>285</v>
      </c>
      <c r="C260">
        <v>3</v>
      </c>
    </row>
    <row r="261" spans="1:3" x14ac:dyDescent="0.3">
      <c r="A261" s="2">
        <v>2021000250</v>
      </c>
      <c r="B261" t="s">
        <v>286</v>
      </c>
      <c r="C261">
        <v>31</v>
      </c>
    </row>
    <row r="262" spans="1:3" x14ac:dyDescent="0.3">
      <c r="A262" s="2">
        <v>2021000251</v>
      </c>
      <c r="B262" t="s">
        <v>287</v>
      </c>
      <c r="C262">
        <v>18</v>
      </c>
    </row>
    <row r="263" spans="1:3" x14ac:dyDescent="0.3">
      <c r="A263" s="2">
        <v>2021000252</v>
      </c>
      <c r="B263" t="s">
        <v>288</v>
      </c>
      <c r="C263">
        <v>3</v>
      </c>
    </row>
    <row r="264" spans="1:3" x14ac:dyDescent="0.3">
      <c r="A264" s="2">
        <v>2021000253</v>
      </c>
      <c r="B264" t="s">
        <v>289</v>
      </c>
      <c r="C264">
        <v>0</v>
      </c>
    </row>
    <row r="265" spans="1:3" x14ac:dyDescent="0.3">
      <c r="A265" s="2">
        <v>2021000254</v>
      </c>
      <c r="B265" t="s">
        <v>297</v>
      </c>
      <c r="C265">
        <v>12</v>
      </c>
    </row>
    <row r="266" spans="1:3" x14ac:dyDescent="0.3">
      <c r="A266" s="2">
        <v>2021000255</v>
      </c>
      <c r="B266" t="s">
        <v>298</v>
      </c>
      <c r="C266">
        <v>9</v>
      </c>
    </row>
    <row r="267" spans="1:3" x14ac:dyDescent="0.3">
      <c r="A267" s="2">
        <v>2021000256</v>
      </c>
      <c r="B267" t="s">
        <v>299</v>
      </c>
      <c r="C267">
        <v>11</v>
      </c>
    </row>
    <row r="268" spans="1:3" x14ac:dyDescent="0.3">
      <c r="A268" s="2">
        <v>2021000257</v>
      </c>
      <c r="B268" t="s">
        <v>360</v>
      </c>
      <c r="C268">
        <v>0</v>
      </c>
    </row>
    <row r="269" spans="1:3" x14ac:dyDescent="0.3">
      <c r="A269" s="2">
        <v>2021000258</v>
      </c>
      <c r="B269" t="s">
        <v>304</v>
      </c>
      <c r="C269">
        <v>33</v>
      </c>
    </row>
    <row r="270" spans="1:3" x14ac:dyDescent="0.3">
      <c r="A270" s="2">
        <v>2021000259</v>
      </c>
      <c r="B270" t="s">
        <v>305</v>
      </c>
      <c r="C270">
        <v>33</v>
      </c>
    </row>
    <row r="271" spans="1:3" x14ac:dyDescent="0.3">
      <c r="A271" s="2">
        <v>2021000260</v>
      </c>
      <c r="B271" t="s">
        <v>306</v>
      </c>
      <c r="C271">
        <v>61</v>
      </c>
    </row>
    <row r="272" spans="1:3" x14ac:dyDescent="0.3">
      <c r="A272" s="2">
        <v>2021000261</v>
      </c>
      <c r="B272" t="s">
        <v>307</v>
      </c>
      <c r="C272">
        <v>1</v>
      </c>
    </row>
    <row r="273" spans="1:3" x14ac:dyDescent="0.3">
      <c r="A273" s="2">
        <v>2021000262</v>
      </c>
      <c r="B273" t="s">
        <v>308</v>
      </c>
      <c r="C273">
        <v>1</v>
      </c>
    </row>
    <row r="274" spans="1:3" x14ac:dyDescent="0.3">
      <c r="A274" s="2">
        <v>2021000263</v>
      </c>
      <c r="B274" t="s">
        <v>309</v>
      </c>
      <c r="C274">
        <v>1</v>
      </c>
    </row>
    <row r="275" spans="1:3" x14ac:dyDescent="0.3">
      <c r="A275" s="2">
        <v>2021000264</v>
      </c>
      <c r="B275" t="s">
        <v>312</v>
      </c>
      <c r="C275">
        <v>7</v>
      </c>
    </row>
    <row r="276" spans="1:3" x14ac:dyDescent="0.3">
      <c r="A276" s="2">
        <v>2021000265</v>
      </c>
      <c r="B276" t="s">
        <v>313</v>
      </c>
      <c r="C276">
        <v>7</v>
      </c>
    </row>
    <row r="277" spans="1:3" x14ac:dyDescent="0.3">
      <c r="A277" s="2">
        <v>2021000266</v>
      </c>
      <c r="B277" t="s">
        <v>314</v>
      </c>
      <c r="C277">
        <v>1</v>
      </c>
    </row>
    <row r="278" spans="1:3" x14ac:dyDescent="0.3">
      <c r="A278" s="2">
        <v>2021000267</v>
      </c>
      <c r="B278" t="s">
        <v>315</v>
      </c>
      <c r="C278">
        <v>2</v>
      </c>
    </row>
    <row r="279" spans="1:3" x14ac:dyDescent="0.3">
      <c r="A279" s="2">
        <v>2021000268</v>
      </c>
      <c r="B279" t="s">
        <v>317</v>
      </c>
      <c r="C279">
        <v>0</v>
      </c>
    </row>
    <row r="280" spans="1:3" x14ac:dyDescent="0.3">
      <c r="A280" s="2">
        <v>2021000269</v>
      </c>
      <c r="B280" t="s">
        <v>318</v>
      </c>
      <c r="C280">
        <v>0</v>
      </c>
    </row>
    <row r="281" spans="1:3" x14ac:dyDescent="0.3">
      <c r="A281" s="2">
        <v>2021000270</v>
      </c>
      <c r="B281" t="s">
        <v>320</v>
      </c>
      <c r="C281">
        <v>0</v>
      </c>
    </row>
    <row r="282" spans="1:3" x14ac:dyDescent="0.3">
      <c r="A282" s="2">
        <v>2021000271</v>
      </c>
      <c r="B282" t="s">
        <v>321</v>
      </c>
      <c r="C282">
        <v>24</v>
      </c>
    </row>
    <row r="283" spans="1:3" x14ac:dyDescent="0.3">
      <c r="A283" s="2">
        <v>2021000272</v>
      </c>
      <c r="B283" t="s">
        <v>322</v>
      </c>
      <c r="C283">
        <v>4</v>
      </c>
    </row>
    <row r="284" spans="1:3" x14ac:dyDescent="0.3">
      <c r="A284" s="2">
        <v>2021000273</v>
      </c>
      <c r="B284" t="s">
        <v>323</v>
      </c>
      <c r="C284">
        <v>17</v>
      </c>
    </row>
    <row r="285" spans="1:3" x14ac:dyDescent="0.3">
      <c r="A285" s="2">
        <v>2021000274</v>
      </c>
      <c r="B285" t="s">
        <v>324</v>
      </c>
      <c r="C285">
        <v>6</v>
      </c>
    </row>
    <row r="286" spans="1:3" x14ac:dyDescent="0.3">
      <c r="A286" s="2">
        <v>2021000275</v>
      </c>
      <c r="B286" t="s">
        <v>325</v>
      </c>
      <c r="C286">
        <v>1</v>
      </c>
    </row>
    <row r="287" spans="1:3" x14ac:dyDescent="0.3">
      <c r="A287" s="2">
        <v>2021000276</v>
      </c>
      <c r="B287" t="s">
        <v>326</v>
      </c>
      <c r="C287">
        <v>0</v>
      </c>
    </row>
    <row r="288" spans="1:3" x14ac:dyDescent="0.3">
      <c r="A288" s="2">
        <v>2021000277</v>
      </c>
      <c r="B288" t="s">
        <v>328</v>
      </c>
      <c r="C288">
        <v>17</v>
      </c>
    </row>
    <row r="289" spans="1:3" x14ac:dyDescent="0.3">
      <c r="A289" s="2">
        <v>2021000278</v>
      </c>
      <c r="B289" t="s">
        <v>330</v>
      </c>
      <c r="C289">
        <v>2</v>
      </c>
    </row>
    <row r="290" spans="1:3" x14ac:dyDescent="0.3">
      <c r="A290" s="2">
        <v>2021000279</v>
      </c>
      <c r="B290" t="s">
        <v>331</v>
      </c>
      <c r="C290">
        <v>0</v>
      </c>
    </row>
    <row r="291" spans="1:3" x14ac:dyDescent="0.3">
      <c r="A291" s="2">
        <v>2021000280</v>
      </c>
      <c r="B291" t="s">
        <v>333</v>
      </c>
      <c r="C291">
        <v>3</v>
      </c>
    </row>
    <row r="292" spans="1:3" x14ac:dyDescent="0.3">
      <c r="A292" s="2">
        <v>2021000281</v>
      </c>
      <c r="B292" t="s">
        <v>334</v>
      </c>
      <c r="C292">
        <v>3</v>
      </c>
    </row>
    <row r="293" spans="1:3" x14ac:dyDescent="0.3">
      <c r="A293" s="2">
        <v>2021000282</v>
      </c>
      <c r="B293" t="s">
        <v>335</v>
      </c>
      <c r="C293">
        <v>0</v>
      </c>
    </row>
    <row r="294" spans="1:3" x14ac:dyDescent="0.3">
      <c r="A294" s="2">
        <v>2021000283</v>
      </c>
      <c r="B294" t="s">
        <v>336</v>
      </c>
      <c r="C294">
        <v>5</v>
      </c>
    </row>
    <row r="295" spans="1:3" x14ac:dyDescent="0.3">
      <c r="A295" s="2">
        <v>2021000284</v>
      </c>
      <c r="B295" t="s">
        <v>337</v>
      </c>
      <c r="C295">
        <v>2</v>
      </c>
    </row>
    <row r="296" spans="1:3" x14ac:dyDescent="0.3">
      <c r="A296" s="2">
        <v>2021000285</v>
      </c>
      <c r="B296" t="s">
        <v>338</v>
      </c>
      <c r="C296">
        <v>2</v>
      </c>
    </row>
    <row r="297" spans="1:3" x14ac:dyDescent="0.3">
      <c r="A297" s="2">
        <v>2021000286</v>
      </c>
      <c r="B297" t="s">
        <v>341</v>
      </c>
      <c r="C297">
        <v>6</v>
      </c>
    </row>
    <row r="298" spans="1:3" x14ac:dyDescent="0.3">
      <c r="A298" s="2">
        <v>2021000287</v>
      </c>
      <c r="B298" t="s">
        <v>342</v>
      </c>
      <c r="C298">
        <v>3</v>
      </c>
    </row>
    <row r="299" spans="1:3" x14ac:dyDescent="0.3">
      <c r="A299" s="2">
        <v>2021000288</v>
      </c>
      <c r="B299" t="s">
        <v>344</v>
      </c>
      <c r="C299">
        <v>0</v>
      </c>
    </row>
    <row r="300" spans="1:3" x14ac:dyDescent="0.3">
      <c r="A300" s="2">
        <v>2021000289</v>
      </c>
      <c r="B300" t="s">
        <v>345</v>
      </c>
      <c r="C300">
        <v>3</v>
      </c>
    </row>
    <row r="301" spans="1:3" x14ac:dyDescent="0.3">
      <c r="A301" s="2">
        <v>2021000290</v>
      </c>
      <c r="B301" t="s">
        <v>346</v>
      </c>
      <c r="C301">
        <v>5</v>
      </c>
    </row>
    <row r="302" spans="1:3" x14ac:dyDescent="0.3">
      <c r="A302" s="2">
        <v>2021000291</v>
      </c>
      <c r="B302" t="s">
        <v>347</v>
      </c>
      <c r="C302">
        <v>9</v>
      </c>
    </row>
    <row r="303" spans="1:3" x14ac:dyDescent="0.3">
      <c r="A303" s="2">
        <v>2021000292</v>
      </c>
      <c r="B303" t="s">
        <v>348</v>
      </c>
      <c r="C303">
        <v>7</v>
      </c>
    </row>
    <row r="304" spans="1:3" x14ac:dyDescent="0.3">
      <c r="A304" s="2">
        <v>2021000293</v>
      </c>
      <c r="B304" t="s">
        <v>349</v>
      </c>
      <c r="C304">
        <v>10</v>
      </c>
    </row>
    <row r="305" spans="1:3" x14ac:dyDescent="0.3">
      <c r="A305" s="2">
        <v>2021000294</v>
      </c>
      <c r="B305" t="s">
        <v>350</v>
      </c>
      <c r="C305">
        <v>0</v>
      </c>
    </row>
    <row r="306" spans="1:3" x14ac:dyDescent="0.3">
      <c r="A306" s="2">
        <v>2021000295</v>
      </c>
      <c r="B306" t="s">
        <v>351</v>
      </c>
      <c r="C306">
        <v>1</v>
      </c>
    </row>
    <row r="307" spans="1:3" x14ac:dyDescent="0.3">
      <c r="A307" s="2">
        <v>2021000296</v>
      </c>
      <c r="B307" t="s">
        <v>352</v>
      </c>
      <c r="C307">
        <v>0</v>
      </c>
    </row>
    <row r="308" spans="1:3" x14ac:dyDescent="0.3">
      <c r="A308" s="2">
        <v>2021000297</v>
      </c>
      <c r="B308" t="s">
        <v>353</v>
      </c>
      <c r="C308">
        <v>2</v>
      </c>
    </row>
    <row r="309" spans="1:3" x14ac:dyDescent="0.3">
      <c r="A309" s="2">
        <v>2021000298</v>
      </c>
      <c r="B309" t="s">
        <v>354</v>
      </c>
      <c r="C309">
        <v>0</v>
      </c>
    </row>
    <row r="310" spans="1:3" x14ac:dyDescent="0.3">
      <c r="A310" s="2">
        <v>2021000299</v>
      </c>
      <c r="B310" t="s">
        <v>355</v>
      </c>
      <c r="C310">
        <v>0</v>
      </c>
    </row>
    <row r="311" spans="1:3" x14ac:dyDescent="0.3">
      <c r="A311" s="2">
        <v>2021000300</v>
      </c>
      <c r="B311" t="s">
        <v>357</v>
      </c>
      <c r="C311">
        <v>10</v>
      </c>
    </row>
    <row r="312" spans="1:3" x14ac:dyDescent="0.3">
      <c r="A312" s="2">
        <v>2021000301</v>
      </c>
      <c r="B312" t="s">
        <v>358</v>
      </c>
      <c r="C312">
        <v>6</v>
      </c>
    </row>
    <row r="313" spans="1:3" x14ac:dyDescent="0.3">
      <c r="A313" s="2">
        <v>2021000302</v>
      </c>
      <c r="B313" t="s">
        <v>359</v>
      </c>
      <c r="C313">
        <v>0</v>
      </c>
    </row>
    <row r="314" spans="1:3" x14ac:dyDescent="0.3">
      <c r="A314" s="2">
        <v>2021000303</v>
      </c>
      <c r="B314" t="s">
        <v>363</v>
      </c>
      <c r="C314">
        <v>0</v>
      </c>
    </row>
    <row r="315" spans="1:3" x14ac:dyDescent="0.3">
      <c r="A315" s="2">
        <v>2021000304</v>
      </c>
      <c r="B315" t="s">
        <v>362</v>
      </c>
      <c r="C315">
        <v>0</v>
      </c>
    </row>
    <row r="316" spans="1:3" x14ac:dyDescent="0.3">
      <c r="A316" s="2">
        <v>2021000305</v>
      </c>
      <c r="B316" t="s">
        <v>364</v>
      </c>
      <c r="C316">
        <v>1</v>
      </c>
    </row>
    <row r="317" spans="1:3" x14ac:dyDescent="0.3">
      <c r="A317" s="2">
        <v>2021000306</v>
      </c>
      <c r="B317" t="s">
        <v>365</v>
      </c>
      <c r="C317">
        <v>1</v>
      </c>
    </row>
    <row r="318" spans="1:3" x14ac:dyDescent="0.3">
      <c r="A318" s="2">
        <v>2021000307</v>
      </c>
      <c r="B318" t="s">
        <v>369</v>
      </c>
      <c r="C318">
        <v>0</v>
      </c>
    </row>
    <row r="319" spans="1:3" x14ac:dyDescent="0.3">
      <c r="A319" s="2">
        <v>2021000308</v>
      </c>
      <c r="B319" t="s">
        <v>370</v>
      </c>
      <c r="C319">
        <v>0</v>
      </c>
    </row>
    <row r="320" spans="1:3" x14ac:dyDescent="0.3">
      <c r="A320" s="2">
        <v>2021000309</v>
      </c>
      <c r="B320" t="s">
        <v>371</v>
      </c>
      <c r="C320">
        <v>0</v>
      </c>
    </row>
    <row r="321" spans="1:3" x14ac:dyDescent="0.3">
      <c r="A321" s="2">
        <v>2021000310</v>
      </c>
      <c r="B321" t="s">
        <v>373</v>
      </c>
      <c r="C321">
        <v>0</v>
      </c>
    </row>
    <row r="322" spans="1:3" x14ac:dyDescent="0.3">
      <c r="A322" s="2">
        <v>2021000311</v>
      </c>
      <c r="B322" t="s">
        <v>372</v>
      </c>
      <c r="C322">
        <v>0</v>
      </c>
    </row>
    <row r="323" spans="1:3" x14ac:dyDescent="0.3">
      <c r="A323" s="2">
        <v>2021000312</v>
      </c>
      <c r="B323" t="s">
        <v>374</v>
      </c>
    </row>
    <row r="324" spans="1:3" x14ac:dyDescent="0.3">
      <c r="A324" s="2">
        <v>2021000313</v>
      </c>
      <c r="B324" t="s">
        <v>375</v>
      </c>
    </row>
    <row r="325" spans="1:3" x14ac:dyDescent="0.3">
      <c r="A325" s="2">
        <v>2021000314</v>
      </c>
      <c r="B325" t="s">
        <v>376</v>
      </c>
    </row>
    <row r="326" spans="1:3" x14ac:dyDescent="0.3">
      <c r="A326" s="2">
        <v>2021000315</v>
      </c>
      <c r="B326" t="s">
        <v>377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L1000"/>
  <sheetViews>
    <sheetView zoomScaleNormal="100" workbookViewId="0">
      <selection activeCell="J15" sqref="J15"/>
    </sheetView>
  </sheetViews>
  <sheetFormatPr defaultColWidth="8.88671875" defaultRowHeight="14.4" x14ac:dyDescent="0.3"/>
  <cols>
    <col min="1" max="1" width="12.88671875" style="21" customWidth="1"/>
    <col min="2" max="2" width="26.88671875" style="25" customWidth="1"/>
    <col min="3" max="3" width="8.44140625" style="16" customWidth="1"/>
    <col min="4" max="4" width="12.33203125" style="16" customWidth="1"/>
    <col min="5" max="5" width="11.33203125" style="16" customWidth="1"/>
    <col min="6" max="6" width="12.5546875" style="16" bestFit="1" customWidth="1"/>
    <col min="7" max="7" width="14.109375" style="16" bestFit="1" customWidth="1"/>
    <col min="8" max="8" width="11.88671875" style="29" customWidth="1"/>
    <col min="9" max="9" width="10.33203125" style="28" bestFit="1" customWidth="1"/>
    <col min="10" max="16384" width="8.88671875" style="16"/>
  </cols>
  <sheetData>
    <row r="1" spans="1:12" x14ac:dyDescent="0.3">
      <c r="A1" s="19" t="s">
        <v>0</v>
      </c>
      <c r="B1" s="20" t="s">
        <v>3</v>
      </c>
      <c r="C1" s="21" t="s">
        <v>11</v>
      </c>
      <c r="D1" s="21" t="s">
        <v>4</v>
      </c>
      <c r="E1" s="22" t="s">
        <v>13</v>
      </c>
      <c r="F1" s="21" t="s">
        <v>5</v>
      </c>
      <c r="G1" s="21" t="s">
        <v>5</v>
      </c>
      <c r="H1" s="23" t="s">
        <v>8</v>
      </c>
      <c r="I1" s="24" t="s">
        <v>15</v>
      </c>
    </row>
    <row r="2" spans="1:12" x14ac:dyDescent="0.3">
      <c r="A2"/>
      <c r="B2"/>
      <c r="C2"/>
      <c r="D2"/>
      <c r="E2"/>
      <c r="F2" t="s">
        <v>366</v>
      </c>
      <c r="G2" t="s">
        <v>367</v>
      </c>
      <c r="H2"/>
      <c r="I2"/>
    </row>
    <row r="3" spans="1:12" x14ac:dyDescent="0.3">
      <c r="A3" s="19"/>
      <c r="D3" s="26"/>
      <c r="E3" s="26"/>
      <c r="F3" s="22"/>
      <c r="G3" s="26"/>
      <c r="H3" s="27"/>
    </row>
    <row r="4" spans="1:12" x14ac:dyDescent="0.3">
      <c r="A4" s="49" t="s">
        <v>0</v>
      </c>
      <c r="B4" s="34" t="s">
        <v>3</v>
      </c>
      <c r="C4" s="35" t="s">
        <v>11</v>
      </c>
      <c r="D4" s="35" t="s">
        <v>4</v>
      </c>
      <c r="E4" s="50" t="s">
        <v>13</v>
      </c>
      <c r="F4" s="35" t="s">
        <v>5</v>
      </c>
      <c r="G4" s="35" t="s">
        <v>8</v>
      </c>
      <c r="H4" s="51" t="s">
        <v>15</v>
      </c>
    </row>
    <row r="5" spans="1:12" x14ac:dyDescent="0.3">
      <c r="A5" s="45">
        <v>2021000206</v>
      </c>
      <c r="B5" s="46" t="s">
        <v>222</v>
      </c>
      <c r="C5" s="46">
        <v>1</v>
      </c>
      <c r="D5" s="47">
        <v>70</v>
      </c>
      <c r="E5" s="47">
        <v>70</v>
      </c>
      <c r="F5" s="44">
        <v>44415</v>
      </c>
      <c r="G5" s="47" t="s">
        <v>242</v>
      </c>
      <c r="H5" s="48">
        <v>52</v>
      </c>
    </row>
    <row r="6" spans="1:12" x14ac:dyDescent="0.3">
      <c r="A6" s="45">
        <v>2021000087</v>
      </c>
      <c r="B6" s="46" t="s">
        <v>105</v>
      </c>
      <c r="C6" s="46">
        <v>1</v>
      </c>
      <c r="D6" s="47">
        <v>70</v>
      </c>
      <c r="E6" s="47">
        <v>70</v>
      </c>
      <c r="F6" s="44">
        <v>44415</v>
      </c>
      <c r="G6" s="47" t="s">
        <v>242</v>
      </c>
      <c r="H6" s="48">
        <v>53</v>
      </c>
    </row>
    <row r="7" spans="1:12" x14ac:dyDescent="0.3">
      <c r="A7" s="45">
        <v>2021000094</v>
      </c>
      <c r="B7" s="46" t="s">
        <v>112</v>
      </c>
      <c r="C7" s="46">
        <v>1</v>
      </c>
      <c r="D7" s="47">
        <v>70</v>
      </c>
      <c r="E7" s="47">
        <v>70</v>
      </c>
      <c r="F7" s="44">
        <v>44415</v>
      </c>
      <c r="G7" s="47" t="s">
        <v>242</v>
      </c>
      <c r="H7" s="48">
        <v>54</v>
      </c>
    </row>
    <row r="8" spans="1:12" x14ac:dyDescent="0.3">
      <c r="A8" s="45">
        <v>2021000306</v>
      </c>
      <c r="B8" s="46" t="s">
        <v>365</v>
      </c>
      <c r="C8" s="46">
        <v>1</v>
      </c>
      <c r="D8" s="47">
        <v>200</v>
      </c>
      <c r="E8" s="47">
        <v>200</v>
      </c>
      <c r="F8" s="44">
        <v>44415</v>
      </c>
      <c r="G8" s="47" t="s">
        <v>242</v>
      </c>
      <c r="H8" s="48">
        <v>55</v>
      </c>
    </row>
    <row r="9" spans="1:12" x14ac:dyDescent="0.3">
      <c r="A9" s="45">
        <v>2021000088</v>
      </c>
      <c r="B9" s="46" t="s">
        <v>106</v>
      </c>
      <c r="C9" s="46">
        <v>1</v>
      </c>
      <c r="D9" s="47">
        <v>100</v>
      </c>
      <c r="E9" s="47">
        <v>100</v>
      </c>
      <c r="F9" s="44">
        <v>44415</v>
      </c>
      <c r="G9" s="47" t="s">
        <v>242</v>
      </c>
      <c r="H9" s="48">
        <v>56</v>
      </c>
    </row>
    <row r="10" spans="1:12" x14ac:dyDescent="0.3">
      <c r="A10" s="45">
        <v>2021000176</v>
      </c>
      <c r="B10" s="46" t="s">
        <v>191</v>
      </c>
      <c r="C10" s="46">
        <v>2</v>
      </c>
      <c r="D10" s="47">
        <v>20</v>
      </c>
      <c r="E10" s="47">
        <v>40</v>
      </c>
      <c r="F10" s="44">
        <v>44415</v>
      </c>
      <c r="G10" s="47" t="s">
        <v>242</v>
      </c>
      <c r="H10" s="48">
        <v>57</v>
      </c>
    </row>
    <row r="11" spans="1:12" x14ac:dyDescent="0.3">
      <c r="A11" s="45">
        <v>2021000258</v>
      </c>
      <c r="B11" s="46" t="s">
        <v>304</v>
      </c>
      <c r="C11" s="46">
        <v>1</v>
      </c>
      <c r="D11" s="47">
        <v>40</v>
      </c>
      <c r="E11" s="47">
        <v>40</v>
      </c>
      <c r="F11" s="44">
        <v>44415</v>
      </c>
      <c r="G11" s="47" t="s">
        <v>242</v>
      </c>
      <c r="H11" s="48">
        <v>58</v>
      </c>
    </row>
    <row r="12" spans="1:12" x14ac:dyDescent="0.3">
      <c r="A12" s="45"/>
      <c r="B12" s="46"/>
      <c r="C12" s="46"/>
      <c r="D12" s="47"/>
      <c r="E12" s="47"/>
      <c r="F12" s="44"/>
      <c r="G12" s="47"/>
      <c r="H12" s="48"/>
    </row>
    <row r="13" spans="1:12" x14ac:dyDescent="0.3">
      <c r="A13" s="45"/>
      <c r="B13" s="46"/>
      <c r="C13" s="46"/>
      <c r="D13" s="47"/>
      <c r="E13" s="47"/>
      <c r="F13" s="44"/>
      <c r="G13" s="47"/>
      <c r="H13" s="48"/>
    </row>
    <row r="14" spans="1:12" x14ac:dyDescent="0.3">
      <c r="A14" s="45"/>
      <c r="B14" s="46"/>
      <c r="C14" s="46"/>
      <c r="D14" s="47"/>
      <c r="E14" s="47"/>
      <c r="F14" s="44"/>
      <c r="G14" s="47"/>
      <c r="H14" s="48"/>
    </row>
    <row r="15" spans="1:12" x14ac:dyDescent="0.3">
      <c r="A15" s="45"/>
      <c r="B15" s="46"/>
      <c r="C15" s="46"/>
      <c r="D15" s="47"/>
      <c r="E15" s="47"/>
      <c r="F15" s="44"/>
      <c r="G15" s="47"/>
      <c r="H15" s="48"/>
      <c r="L15" s="18" t="s">
        <v>290</v>
      </c>
    </row>
    <row r="16" spans="1:12" x14ac:dyDescent="0.3">
      <c r="A16" s="45"/>
      <c r="B16" s="46"/>
      <c r="C16" s="46"/>
      <c r="D16" s="47"/>
      <c r="E16" s="47"/>
      <c r="F16" s="44"/>
      <c r="G16" s="47"/>
      <c r="H16" s="48"/>
    </row>
    <row r="17" spans="1:8" x14ac:dyDescent="0.3">
      <c r="A17" s="45"/>
      <c r="B17" s="46"/>
      <c r="C17" s="46"/>
      <c r="D17" s="47"/>
      <c r="E17" s="47"/>
      <c r="F17" s="44"/>
      <c r="G17" s="47"/>
      <c r="H17" s="48"/>
    </row>
    <row r="18" spans="1:8" x14ac:dyDescent="0.3">
      <c r="A18" s="45"/>
      <c r="B18" s="46"/>
      <c r="C18" s="46"/>
      <c r="D18" s="47"/>
      <c r="E18" s="47"/>
      <c r="F18" s="44"/>
      <c r="G18" s="47"/>
      <c r="H18" s="48"/>
    </row>
    <row r="19" spans="1:8" x14ac:dyDescent="0.3">
      <c r="A19" s="45"/>
      <c r="B19" s="46"/>
      <c r="C19" s="46"/>
      <c r="D19" s="47"/>
      <c r="E19" s="47"/>
      <c r="F19" s="44"/>
      <c r="G19" s="47"/>
      <c r="H19" s="48"/>
    </row>
    <row r="20" spans="1:8" x14ac:dyDescent="0.3">
      <c r="A20" s="45"/>
      <c r="B20" s="46"/>
      <c r="C20" s="46"/>
      <c r="D20" s="47"/>
      <c r="E20" s="47"/>
      <c r="F20" s="44"/>
      <c r="G20" s="47"/>
      <c r="H20" s="48"/>
    </row>
    <row r="21" spans="1:8" x14ac:dyDescent="0.3">
      <c r="A21" s="45"/>
      <c r="B21" s="46"/>
      <c r="C21" s="46"/>
      <c r="D21" s="47"/>
      <c r="E21" s="47"/>
      <c r="F21" s="44"/>
      <c r="G21" s="47"/>
      <c r="H21" s="48"/>
    </row>
    <row r="22" spans="1:8" x14ac:dyDescent="0.3">
      <c r="A22" s="45"/>
      <c r="B22" s="46"/>
      <c r="C22" s="46"/>
      <c r="D22" s="47"/>
      <c r="E22" s="47"/>
      <c r="F22" s="44"/>
      <c r="G22" s="47"/>
      <c r="H22" s="48"/>
    </row>
    <row r="23" spans="1:8" x14ac:dyDescent="0.3">
      <c r="A23" s="45"/>
      <c r="B23" s="46"/>
      <c r="C23" s="46"/>
      <c r="D23" s="47"/>
      <c r="E23" s="47"/>
      <c r="F23" s="44"/>
      <c r="G23" s="47"/>
      <c r="H23" s="48"/>
    </row>
    <row r="24" spans="1:8" x14ac:dyDescent="0.3">
      <c r="A24" s="45"/>
      <c r="B24" s="46"/>
      <c r="C24" s="46"/>
      <c r="D24" s="47"/>
      <c r="E24" s="47"/>
      <c r="F24" s="44"/>
      <c r="G24" s="47"/>
      <c r="H24" s="48"/>
    </row>
    <row r="25" spans="1:8" x14ac:dyDescent="0.3">
      <c r="A25" s="45"/>
      <c r="B25" s="46"/>
      <c r="C25" s="46"/>
      <c r="D25" s="47"/>
      <c r="E25" s="47"/>
      <c r="F25" s="44"/>
      <c r="G25" s="47"/>
      <c r="H25" s="48"/>
    </row>
    <row r="26" spans="1:8" x14ac:dyDescent="0.3">
      <c r="A26" s="45"/>
      <c r="B26" s="46"/>
      <c r="C26" s="46"/>
      <c r="D26" s="47"/>
      <c r="E26" s="47"/>
      <c r="F26" s="44"/>
      <c r="G26" s="47"/>
      <c r="H26" s="48"/>
    </row>
    <row r="27" spans="1:8" x14ac:dyDescent="0.3">
      <c r="A27" s="45"/>
      <c r="B27" s="46"/>
      <c r="C27" s="46"/>
      <c r="D27" s="47"/>
      <c r="E27" s="47"/>
      <c r="F27" s="44"/>
      <c r="G27" s="47"/>
      <c r="H27" s="48"/>
    </row>
    <row r="28" spans="1:8" x14ac:dyDescent="0.3">
      <c r="A28" s="45"/>
      <c r="B28" s="46"/>
      <c r="C28" s="46"/>
      <c r="D28" s="47"/>
      <c r="E28" s="47"/>
      <c r="F28" s="44"/>
      <c r="G28" s="47"/>
      <c r="H28" s="48"/>
    </row>
    <row r="29" spans="1:8" x14ac:dyDescent="0.3">
      <c r="A29" s="45"/>
      <c r="B29" s="46"/>
      <c r="C29" s="46"/>
      <c r="D29" s="47"/>
      <c r="E29" s="47"/>
      <c r="F29" s="44"/>
      <c r="G29" s="47"/>
      <c r="H29" s="48"/>
    </row>
    <row r="30" spans="1:8" x14ac:dyDescent="0.3">
      <c r="A30" s="45"/>
      <c r="B30" s="46"/>
      <c r="C30" s="46"/>
      <c r="D30" s="47"/>
      <c r="E30" s="47"/>
      <c r="F30" s="44"/>
      <c r="G30" s="47"/>
      <c r="H30" s="48"/>
    </row>
    <row r="31" spans="1:8" x14ac:dyDescent="0.3">
      <c r="A31" s="45"/>
      <c r="B31" s="46"/>
      <c r="C31" s="46"/>
      <c r="D31" s="47"/>
      <c r="E31" s="47"/>
      <c r="F31" s="44"/>
      <c r="G31" s="47"/>
      <c r="H31" s="48"/>
    </row>
    <row r="32" spans="1:8" x14ac:dyDescent="0.3">
      <c r="A32" s="45"/>
      <c r="B32" s="46"/>
      <c r="C32" s="46"/>
      <c r="D32" s="47"/>
      <c r="E32" s="47"/>
      <c r="F32" s="44"/>
      <c r="G32" s="47"/>
      <c r="H32" s="48"/>
    </row>
    <row r="33" spans="1:8" x14ac:dyDescent="0.3">
      <c r="A33" s="45"/>
      <c r="B33" s="46"/>
      <c r="C33" s="46"/>
      <c r="D33" s="47"/>
      <c r="E33" s="47"/>
      <c r="F33" s="44"/>
      <c r="G33" s="47"/>
      <c r="H33" s="48"/>
    </row>
    <row r="34" spans="1:8" x14ac:dyDescent="0.3">
      <c r="A34" s="45"/>
      <c r="B34" s="46"/>
      <c r="C34" s="46"/>
      <c r="D34" s="47"/>
      <c r="E34" s="47"/>
      <c r="F34" s="44"/>
      <c r="G34" s="47"/>
      <c r="H34" s="48"/>
    </row>
    <row r="35" spans="1:8" x14ac:dyDescent="0.3">
      <c r="A35" s="45"/>
      <c r="B35" s="46"/>
      <c r="C35" s="46"/>
      <c r="D35" s="47"/>
      <c r="E35" s="47"/>
      <c r="F35" s="44"/>
      <c r="G35" s="47"/>
      <c r="H35" s="48"/>
    </row>
    <row r="36" spans="1:8" x14ac:dyDescent="0.3">
      <c r="A36" s="45"/>
      <c r="B36" s="46"/>
      <c r="C36" s="46"/>
      <c r="D36" s="47"/>
      <c r="E36" s="47"/>
      <c r="F36" s="44"/>
      <c r="G36" s="47"/>
      <c r="H36" s="48"/>
    </row>
    <row r="37" spans="1:8" x14ac:dyDescent="0.3">
      <c r="A37" s="45"/>
      <c r="B37" s="46"/>
      <c r="C37" s="46"/>
      <c r="D37" s="47"/>
      <c r="E37" s="47"/>
      <c r="F37" s="44"/>
      <c r="G37" s="47"/>
      <c r="H37" s="48"/>
    </row>
    <row r="38" spans="1:8" x14ac:dyDescent="0.3">
      <c r="A38" s="45"/>
      <c r="B38" s="46"/>
      <c r="C38" s="46"/>
      <c r="D38" s="47"/>
      <c r="E38" s="47"/>
      <c r="F38" s="44"/>
      <c r="G38" s="47"/>
      <c r="H38" s="48"/>
    </row>
    <row r="39" spans="1:8" x14ac:dyDescent="0.3">
      <c r="A39" s="45"/>
      <c r="B39" s="46"/>
      <c r="C39" s="46"/>
      <c r="D39" s="47"/>
      <c r="E39" s="47"/>
      <c r="F39" s="44"/>
      <c r="G39" s="47"/>
      <c r="H39" s="48"/>
    </row>
    <row r="40" spans="1:8" x14ac:dyDescent="0.3">
      <c r="A40" s="45"/>
      <c r="B40" s="46"/>
      <c r="C40" s="46"/>
      <c r="D40" s="47"/>
      <c r="E40" s="47"/>
      <c r="F40" s="44"/>
      <c r="G40" s="47"/>
      <c r="H40" s="48"/>
    </row>
    <row r="41" spans="1:8" x14ac:dyDescent="0.3">
      <c r="A41" s="45"/>
      <c r="B41" s="46"/>
      <c r="C41" s="46"/>
      <c r="D41" s="47"/>
      <c r="E41" s="47"/>
      <c r="F41" s="44"/>
      <c r="G41" s="47"/>
      <c r="H41" s="48"/>
    </row>
    <row r="42" spans="1:8" x14ac:dyDescent="0.3">
      <c r="A42" s="45"/>
      <c r="B42" s="46"/>
      <c r="C42" s="46"/>
      <c r="D42" s="47"/>
      <c r="E42" s="47"/>
      <c r="F42" s="44"/>
      <c r="G42" s="47"/>
      <c r="H42" s="48"/>
    </row>
    <row r="43" spans="1:8" x14ac:dyDescent="0.3">
      <c r="A43" s="45"/>
      <c r="B43" s="46"/>
      <c r="C43" s="46"/>
      <c r="D43" s="47"/>
      <c r="E43" s="47"/>
      <c r="F43" s="44"/>
      <c r="G43" s="47"/>
      <c r="H43" s="48"/>
    </row>
    <row r="44" spans="1:8" x14ac:dyDescent="0.3">
      <c r="A44" s="45"/>
      <c r="B44" s="46"/>
      <c r="C44" s="46"/>
      <c r="D44" s="47"/>
      <c r="E44" s="47"/>
      <c r="F44" s="44"/>
      <c r="G44" s="47"/>
      <c r="H44" s="48"/>
    </row>
    <row r="45" spans="1:8" x14ac:dyDescent="0.3">
      <c r="A45" s="45"/>
      <c r="B45" s="46"/>
      <c r="C45" s="46"/>
      <c r="D45" s="47"/>
      <c r="E45" s="47"/>
      <c r="F45" s="44"/>
      <c r="G45" s="47"/>
      <c r="H45" s="48"/>
    </row>
    <row r="46" spans="1:8" x14ac:dyDescent="0.3">
      <c r="A46" s="45"/>
      <c r="B46" s="46"/>
      <c r="C46" s="46"/>
      <c r="D46" s="47"/>
      <c r="E46" s="47"/>
      <c r="F46" s="44"/>
      <c r="G46" s="47"/>
      <c r="H46" s="48"/>
    </row>
    <row r="47" spans="1:8" x14ac:dyDescent="0.3">
      <c r="A47" s="45"/>
      <c r="B47" s="46"/>
      <c r="C47" s="46"/>
      <c r="D47" s="47"/>
      <c r="E47" s="47"/>
      <c r="F47" s="44"/>
      <c r="G47" s="47"/>
      <c r="H47" s="48"/>
    </row>
    <row r="48" spans="1:8" x14ac:dyDescent="0.3">
      <c r="A48" s="45"/>
      <c r="B48" s="46"/>
      <c r="C48" s="46"/>
      <c r="D48" s="47"/>
      <c r="E48" s="47"/>
      <c r="F48" s="44"/>
      <c r="G48" s="47"/>
      <c r="H48" s="48"/>
    </row>
    <row r="49" spans="1:8" x14ac:dyDescent="0.3">
      <c r="A49" s="45"/>
      <c r="B49" s="46"/>
      <c r="C49" s="46"/>
      <c r="D49" s="47"/>
      <c r="E49" s="47"/>
      <c r="F49" s="44"/>
      <c r="G49" s="47"/>
      <c r="H49" s="48"/>
    </row>
    <row r="50" spans="1:8" x14ac:dyDescent="0.3">
      <c r="A50" s="45"/>
      <c r="B50" s="46"/>
      <c r="C50" s="46"/>
      <c r="D50" s="47"/>
      <c r="E50" s="47"/>
      <c r="F50" s="44"/>
      <c r="G50" s="47"/>
      <c r="H50" s="48"/>
    </row>
    <row r="51" spans="1:8" x14ac:dyDescent="0.3">
      <c r="A51" s="45"/>
      <c r="B51" s="46"/>
      <c r="C51" s="46"/>
      <c r="D51" s="47"/>
      <c r="E51" s="47"/>
      <c r="F51" s="44"/>
      <c r="G51" s="47"/>
      <c r="H51" s="48"/>
    </row>
    <row r="52" spans="1:8" x14ac:dyDescent="0.3">
      <c r="A52" s="45"/>
      <c r="B52" s="46"/>
      <c r="C52" s="46"/>
      <c r="D52" s="47"/>
      <c r="E52" s="47"/>
      <c r="F52" s="44"/>
      <c r="G52" s="47"/>
      <c r="H52" s="48"/>
    </row>
    <row r="53" spans="1:8" x14ac:dyDescent="0.3">
      <c r="A53" s="45"/>
      <c r="B53" s="46"/>
      <c r="C53" s="46"/>
      <c r="D53" s="47"/>
      <c r="E53" s="47"/>
      <c r="F53" s="44"/>
      <c r="G53" s="47"/>
      <c r="H53" s="48"/>
    </row>
    <row r="54" spans="1:8" x14ac:dyDescent="0.3">
      <c r="A54" s="45"/>
      <c r="B54" s="46"/>
      <c r="C54" s="46"/>
      <c r="D54" s="47"/>
      <c r="E54" s="47"/>
      <c r="F54" s="44"/>
      <c r="G54" s="47"/>
      <c r="H54" s="48"/>
    </row>
    <row r="55" spans="1:8" x14ac:dyDescent="0.3">
      <c r="A55" s="45"/>
      <c r="B55" s="46"/>
      <c r="C55" s="46"/>
      <c r="D55" s="47"/>
      <c r="E55" s="47"/>
      <c r="F55" s="44"/>
      <c r="G55" s="47"/>
      <c r="H55" s="48"/>
    </row>
    <row r="56" spans="1:8" x14ac:dyDescent="0.3">
      <c r="A56" s="45"/>
      <c r="B56" s="46"/>
      <c r="C56" s="46"/>
      <c r="D56" s="47"/>
      <c r="E56" s="47"/>
      <c r="F56" s="44"/>
      <c r="G56" s="47"/>
      <c r="H56" s="48"/>
    </row>
    <row r="57" spans="1:8" x14ac:dyDescent="0.3">
      <c r="A57" s="45"/>
      <c r="B57" s="46"/>
      <c r="C57" s="46"/>
      <c r="D57" s="47"/>
      <c r="E57" s="47"/>
      <c r="F57" s="44"/>
      <c r="G57" s="47"/>
      <c r="H57" s="48"/>
    </row>
    <row r="58" spans="1:8" x14ac:dyDescent="0.3">
      <c r="A58" s="45"/>
      <c r="B58" s="46"/>
      <c r="C58" s="46"/>
      <c r="D58" s="47"/>
      <c r="E58" s="47"/>
      <c r="F58" s="44"/>
      <c r="G58" s="47"/>
      <c r="H58" s="48"/>
    </row>
    <row r="59" spans="1:8" x14ac:dyDescent="0.3">
      <c r="A59" s="45"/>
      <c r="B59" s="46"/>
      <c r="C59" s="46"/>
      <c r="D59" s="47"/>
      <c r="E59" s="47"/>
      <c r="F59" s="44"/>
      <c r="G59" s="47"/>
      <c r="H59" s="48"/>
    </row>
    <row r="60" spans="1:8" x14ac:dyDescent="0.3">
      <c r="A60" s="45"/>
      <c r="B60" s="46"/>
      <c r="C60" s="46"/>
      <c r="D60" s="47"/>
      <c r="E60" s="47"/>
      <c r="F60" s="44"/>
      <c r="G60" s="47"/>
      <c r="H60" s="48"/>
    </row>
    <row r="61" spans="1:8" x14ac:dyDescent="0.3">
      <c r="A61" s="45"/>
      <c r="B61" s="46"/>
      <c r="C61" s="46"/>
      <c r="D61" s="47"/>
      <c r="E61" s="47"/>
      <c r="F61" s="44"/>
      <c r="G61" s="47"/>
      <c r="H61" s="48"/>
    </row>
    <row r="62" spans="1:8" x14ac:dyDescent="0.3">
      <c r="A62" s="45"/>
      <c r="B62" s="46"/>
      <c r="C62" s="46"/>
      <c r="D62" s="47"/>
      <c r="E62" s="47"/>
      <c r="F62" s="44"/>
      <c r="G62" s="47"/>
      <c r="H62" s="48"/>
    </row>
    <row r="63" spans="1:8" x14ac:dyDescent="0.3">
      <c r="A63" s="45"/>
      <c r="B63" s="46"/>
      <c r="C63" s="46"/>
      <c r="D63" s="47"/>
      <c r="E63" s="47"/>
      <c r="F63" s="44"/>
      <c r="G63" s="47"/>
      <c r="H63" s="48"/>
    </row>
    <row r="64" spans="1:8" x14ac:dyDescent="0.3">
      <c r="A64" s="45"/>
      <c r="B64" s="46"/>
      <c r="C64" s="46"/>
      <c r="D64" s="47"/>
      <c r="E64" s="47"/>
      <c r="F64" s="44"/>
      <c r="G64" s="47"/>
      <c r="H64" s="48"/>
    </row>
    <row r="65" spans="1:8" x14ac:dyDescent="0.3">
      <c r="A65" s="45"/>
      <c r="B65" s="46"/>
      <c r="C65" s="46"/>
      <c r="D65" s="47"/>
      <c r="E65" s="47"/>
      <c r="F65" s="44"/>
      <c r="G65" s="47"/>
      <c r="H65" s="48"/>
    </row>
    <row r="66" spans="1:8" x14ac:dyDescent="0.3">
      <c r="A66" s="45"/>
      <c r="B66" s="46"/>
      <c r="C66" s="46"/>
      <c r="D66" s="47"/>
      <c r="E66" s="47"/>
      <c r="F66" s="44"/>
      <c r="G66" s="47"/>
      <c r="H66" s="48"/>
    </row>
    <row r="67" spans="1:8" x14ac:dyDescent="0.3">
      <c r="A67" s="45"/>
      <c r="B67" s="46"/>
      <c r="C67" s="46"/>
      <c r="D67" s="47"/>
      <c r="E67" s="47"/>
      <c r="F67" s="44"/>
      <c r="G67" s="47"/>
      <c r="H67" s="48"/>
    </row>
    <row r="68" spans="1:8" x14ac:dyDescent="0.3">
      <c r="A68" s="45"/>
      <c r="B68" s="46"/>
      <c r="C68" s="46"/>
      <c r="D68" s="47"/>
      <c r="E68" s="47"/>
      <c r="F68" s="44"/>
      <c r="G68" s="47"/>
      <c r="H68" s="48"/>
    </row>
    <row r="69" spans="1:8" x14ac:dyDescent="0.3">
      <c r="A69" s="45"/>
      <c r="B69" s="46"/>
      <c r="C69" s="46"/>
      <c r="D69" s="47"/>
      <c r="E69" s="47"/>
      <c r="F69" s="44"/>
      <c r="G69" s="47"/>
      <c r="H69" s="48"/>
    </row>
    <row r="70" spans="1:8" x14ac:dyDescent="0.3">
      <c r="A70" s="45"/>
      <c r="B70" s="46"/>
      <c r="C70" s="46"/>
      <c r="D70" s="47"/>
      <c r="E70" s="47"/>
      <c r="F70" s="44"/>
      <c r="G70" s="47"/>
      <c r="H70" s="48"/>
    </row>
    <row r="71" spans="1:8" x14ac:dyDescent="0.3">
      <c r="A71" s="45"/>
      <c r="B71" s="46"/>
      <c r="C71" s="46"/>
      <c r="D71" s="47"/>
      <c r="E71" s="47"/>
      <c r="F71" s="44"/>
      <c r="G71" s="47"/>
      <c r="H71" s="48"/>
    </row>
    <row r="72" spans="1:8" x14ac:dyDescent="0.3">
      <c r="A72" s="45"/>
      <c r="B72" s="46"/>
      <c r="C72" s="46"/>
      <c r="D72" s="47"/>
      <c r="E72" s="47"/>
      <c r="F72" s="44"/>
      <c r="G72" s="47"/>
      <c r="H72" s="48"/>
    </row>
    <row r="73" spans="1:8" x14ac:dyDescent="0.3">
      <c r="A73" s="45"/>
      <c r="B73" s="46"/>
      <c r="C73" s="46"/>
      <c r="D73" s="47"/>
      <c r="E73" s="47"/>
      <c r="F73" s="44"/>
      <c r="G73" s="47"/>
      <c r="H73" s="48"/>
    </row>
    <row r="74" spans="1:8" x14ac:dyDescent="0.3">
      <c r="A74" s="45"/>
      <c r="B74" s="46"/>
      <c r="C74" s="46"/>
      <c r="D74" s="47"/>
      <c r="E74" s="47"/>
      <c r="F74" s="44"/>
      <c r="G74" s="47"/>
      <c r="H74" s="48"/>
    </row>
    <row r="75" spans="1:8" x14ac:dyDescent="0.3">
      <c r="A75" s="45"/>
      <c r="B75" s="46"/>
      <c r="C75" s="46"/>
      <c r="D75" s="47"/>
      <c r="E75" s="47"/>
      <c r="F75" s="44"/>
      <c r="G75" s="47"/>
      <c r="H75" s="48"/>
    </row>
    <row r="76" spans="1:8" x14ac:dyDescent="0.3">
      <c r="A76" s="45"/>
      <c r="B76" s="46"/>
      <c r="C76" s="46"/>
      <c r="D76" s="47"/>
      <c r="E76" s="47"/>
      <c r="F76" s="44"/>
      <c r="G76" s="47"/>
      <c r="H76" s="48"/>
    </row>
    <row r="77" spans="1:8" x14ac:dyDescent="0.3">
      <c r="A77" s="45"/>
      <c r="B77" s="46"/>
      <c r="C77" s="46"/>
      <c r="D77" s="47"/>
      <c r="E77" s="47"/>
      <c r="F77" s="44"/>
      <c r="G77" s="47"/>
      <c r="H77" s="48"/>
    </row>
    <row r="78" spans="1:8" x14ac:dyDescent="0.3">
      <c r="A78" s="45"/>
      <c r="B78" s="46"/>
      <c r="C78" s="46"/>
      <c r="D78" s="47"/>
      <c r="E78" s="47"/>
      <c r="F78" s="44"/>
      <c r="G78" s="47"/>
      <c r="H78" s="48"/>
    </row>
    <row r="79" spans="1:8" x14ac:dyDescent="0.3">
      <c r="A79" s="45"/>
      <c r="B79" s="46"/>
      <c r="C79" s="46"/>
      <c r="D79" s="47"/>
      <c r="E79" s="47"/>
      <c r="F79" s="44"/>
      <c r="G79" s="47"/>
      <c r="H79" s="48"/>
    </row>
    <row r="80" spans="1:8" x14ac:dyDescent="0.3">
      <c r="A80" s="45"/>
      <c r="B80" s="46"/>
      <c r="C80" s="46"/>
      <c r="D80" s="47"/>
      <c r="E80" s="47"/>
      <c r="F80" s="44"/>
      <c r="G80" s="47"/>
      <c r="H80" s="48"/>
    </row>
    <row r="81" spans="1:8" x14ac:dyDescent="0.3">
      <c r="A81" s="45"/>
      <c r="B81" s="46"/>
      <c r="C81" s="46"/>
      <c r="D81" s="47"/>
      <c r="E81" s="47"/>
      <c r="F81" s="44"/>
      <c r="G81" s="47"/>
      <c r="H81" s="48"/>
    </row>
    <row r="82" spans="1:8" x14ac:dyDescent="0.3">
      <c r="A82" s="45"/>
      <c r="B82" s="46"/>
      <c r="C82" s="46"/>
      <c r="D82" s="47"/>
      <c r="E82" s="47"/>
      <c r="F82" s="44"/>
      <c r="G82" s="47"/>
      <c r="H82" s="48"/>
    </row>
    <row r="83" spans="1:8" x14ac:dyDescent="0.3">
      <c r="A83" s="45"/>
      <c r="B83" s="46"/>
      <c r="C83" s="46"/>
      <c r="D83" s="47"/>
      <c r="E83" s="47"/>
      <c r="F83" s="44"/>
      <c r="G83" s="47"/>
      <c r="H83" s="48"/>
    </row>
    <row r="84" spans="1:8" x14ac:dyDescent="0.3">
      <c r="A84" s="45"/>
      <c r="B84" s="46"/>
      <c r="C84" s="46"/>
      <c r="D84" s="47"/>
      <c r="E84" s="47"/>
      <c r="F84" s="44"/>
      <c r="G84" s="47"/>
      <c r="H84" s="48"/>
    </row>
    <row r="85" spans="1:8" x14ac:dyDescent="0.3">
      <c r="A85" s="45"/>
      <c r="B85" s="46"/>
      <c r="C85" s="46"/>
      <c r="D85" s="47"/>
      <c r="E85" s="47"/>
      <c r="F85" s="44"/>
      <c r="G85" s="47"/>
      <c r="H85" s="48"/>
    </row>
    <row r="86" spans="1:8" x14ac:dyDescent="0.3">
      <c r="A86" s="45"/>
      <c r="B86" s="46"/>
      <c r="C86" s="46"/>
      <c r="D86" s="47"/>
      <c r="E86" s="47"/>
      <c r="F86" s="44"/>
      <c r="G86" s="47"/>
      <c r="H86" s="48"/>
    </row>
    <row r="87" spans="1:8" x14ac:dyDescent="0.3">
      <c r="A87" s="45"/>
      <c r="B87" s="46"/>
      <c r="C87" s="46"/>
      <c r="D87" s="47"/>
      <c r="E87" s="47"/>
      <c r="F87" s="44"/>
      <c r="G87" s="47"/>
      <c r="H87" s="48"/>
    </row>
    <row r="88" spans="1:8" x14ac:dyDescent="0.3">
      <c r="A88" s="45"/>
      <c r="B88" s="46"/>
      <c r="C88" s="46"/>
      <c r="D88" s="47"/>
      <c r="E88" s="47"/>
      <c r="F88" s="44"/>
      <c r="G88" s="47"/>
      <c r="H88" s="48"/>
    </row>
    <row r="89" spans="1:8" x14ac:dyDescent="0.3">
      <c r="A89" s="45"/>
      <c r="B89" s="46"/>
      <c r="C89" s="46"/>
      <c r="D89" s="47"/>
      <c r="E89" s="47"/>
      <c r="F89" s="44"/>
      <c r="G89" s="47"/>
      <c r="H89" s="48"/>
    </row>
    <row r="90" spans="1:8" x14ac:dyDescent="0.3">
      <c r="A90" s="45"/>
      <c r="B90" s="46"/>
      <c r="C90" s="46"/>
      <c r="D90" s="47"/>
      <c r="E90" s="47"/>
      <c r="F90" s="44"/>
      <c r="G90" s="47"/>
      <c r="H90" s="48"/>
    </row>
    <row r="91" spans="1:8" x14ac:dyDescent="0.3">
      <c r="A91" s="45"/>
      <c r="B91" s="46"/>
      <c r="C91" s="46"/>
      <c r="D91" s="47"/>
      <c r="E91" s="47"/>
      <c r="F91" s="44"/>
      <c r="G91" s="47"/>
      <c r="H91" s="48"/>
    </row>
    <row r="92" spans="1:8" x14ac:dyDescent="0.3">
      <c r="A92" s="45"/>
      <c r="B92" s="46"/>
      <c r="C92" s="46"/>
      <c r="D92" s="47"/>
      <c r="E92" s="47"/>
      <c r="F92" s="44"/>
      <c r="G92" s="47"/>
      <c r="H92" s="48"/>
    </row>
    <row r="93" spans="1:8" x14ac:dyDescent="0.3">
      <c r="A93" s="45"/>
      <c r="B93" s="46"/>
      <c r="C93" s="46"/>
      <c r="D93" s="47"/>
      <c r="E93" s="47"/>
      <c r="F93" s="44"/>
      <c r="G93" s="47"/>
      <c r="H93" s="48"/>
    </row>
    <row r="94" spans="1:8" x14ac:dyDescent="0.3">
      <c r="A94" s="45"/>
      <c r="B94" s="46"/>
      <c r="C94" s="46"/>
      <c r="D94" s="47"/>
      <c r="E94" s="47"/>
      <c r="F94" s="44"/>
      <c r="G94" s="47"/>
      <c r="H94" s="48"/>
    </row>
    <row r="95" spans="1:8" x14ac:dyDescent="0.3">
      <c r="A95" s="45"/>
      <c r="B95" s="46"/>
      <c r="C95" s="46"/>
      <c r="D95" s="47"/>
      <c r="E95" s="47"/>
      <c r="F95" s="44"/>
      <c r="G95" s="47"/>
      <c r="H95" s="48"/>
    </row>
    <row r="96" spans="1:8" x14ac:dyDescent="0.3">
      <c r="A96" s="45"/>
      <c r="B96" s="46"/>
      <c r="C96" s="46"/>
      <c r="D96" s="47"/>
      <c r="E96" s="47"/>
      <c r="F96" s="44"/>
      <c r="G96" s="47"/>
      <c r="H96" s="48"/>
    </row>
    <row r="97" spans="1:8" x14ac:dyDescent="0.3">
      <c r="A97" s="45"/>
      <c r="B97" s="46"/>
      <c r="C97" s="46"/>
      <c r="D97" s="47"/>
      <c r="E97" s="47"/>
      <c r="F97" s="44"/>
      <c r="G97" s="47"/>
      <c r="H97" s="48"/>
    </row>
    <row r="98" spans="1:8" x14ac:dyDescent="0.3">
      <c r="A98" s="45"/>
      <c r="B98" s="46"/>
      <c r="C98" s="46"/>
      <c r="D98" s="47"/>
      <c r="E98" s="47"/>
      <c r="F98" s="44"/>
      <c r="G98" s="47"/>
      <c r="H98" s="48"/>
    </row>
    <row r="99" spans="1:8" x14ac:dyDescent="0.3">
      <c r="A99" s="45"/>
      <c r="B99" s="46"/>
      <c r="C99" s="46"/>
      <c r="D99" s="47"/>
      <c r="E99" s="47"/>
      <c r="F99" s="44"/>
      <c r="G99" s="47"/>
      <c r="H99" s="48"/>
    </row>
    <row r="100" spans="1:8" x14ac:dyDescent="0.3">
      <c r="A100" s="45"/>
      <c r="B100" s="46"/>
      <c r="C100" s="46"/>
      <c r="D100" s="47"/>
      <c r="E100" s="47"/>
      <c r="F100" s="44"/>
      <c r="G100" s="47"/>
      <c r="H100" s="48"/>
    </row>
    <row r="101" spans="1:8" x14ac:dyDescent="0.3">
      <c r="A101" s="45"/>
      <c r="B101" s="46"/>
      <c r="C101" s="46"/>
      <c r="D101" s="47"/>
      <c r="E101" s="47"/>
      <c r="F101" s="44"/>
      <c r="G101" s="47"/>
      <c r="H101" s="48"/>
    </row>
    <row r="102" spans="1:8" x14ac:dyDescent="0.3">
      <c r="A102" s="45"/>
      <c r="B102" s="46"/>
      <c r="C102" s="46"/>
      <c r="D102" s="47"/>
      <c r="E102" s="47"/>
      <c r="F102" s="44"/>
      <c r="G102" s="47"/>
      <c r="H102" s="48"/>
    </row>
    <row r="103" spans="1:8" x14ac:dyDescent="0.3">
      <c r="A103" s="45"/>
      <c r="B103" s="46"/>
      <c r="C103" s="46"/>
      <c r="D103" s="47"/>
      <c r="E103" s="47"/>
      <c r="F103" s="44"/>
      <c r="G103" s="47"/>
      <c r="H103" s="48"/>
    </row>
    <row r="104" spans="1:8" x14ac:dyDescent="0.3">
      <c r="A104" s="45"/>
      <c r="B104" s="46"/>
      <c r="C104" s="46"/>
      <c r="D104" s="47"/>
      <c r="E104" s="47"/>
      <c r="F104" s="44"/>
      <c r="G104" s="47"/>
      <c r="H104" s="48"/>
    </row>
    <row r="105" spans="1:8" x14ac:dyDescent="0.3">
      <c r="A105" s="45"/>
      <c r="B105" s="46"/>
      <c r="C105" s="46"/>
      <c r="D105" s="47"/>
      <c r="E105" s="47"/>
      <c r="F105" s="44"/>
      <c r="G105" s="47"/>
      <c r="H105" s="48"/>
    </row>
    <row r="106" spans="1:8" x14ac:dyDescent="0.3">
      <c r="A106" s="45"/>
      <c r="B106" s="46"/>
      <c r="C106" s="46"/>
      <c r="D106" s="47"/>
      <c r="E106" s="47"/>
      <c r="F106" s="44"/>
      <c r="G106" s="47"/>
      <c r="H106" s="48"/>
    </row>
    <row r="107" spans="1:8" x14ac:dyDescent="0.3">
      <c r="A107" s="45"/>
      <c r="B107" s="46"/>
      <c r="C107" s="46"/>
      <c r="D107" s="47"/>
      <c r="E107" s="47"/>
      <c r="F107" s="44"/>
      <c r="G107" s="47"/>
      <c r="H107" s="48"/>
    </row>
    <row r="108" spans="1:8" x14ac:dyDescent="0.3">
      <c r="A108" s="45"/>
      <c r="B108" s="46"/>
      <c r="C108" s="46"/>
      <c r="D108" s="47"/>
      <c r="E108" s="47"/>
      <c r="F108" s="44"/>
      <c r="G108" s="47"/>
      <c r="H108" s="48"/>
    </row>
    <row r="109" spans="1:8" x14ac:dyDescent="0.3">
      <c r="A109" s="45"/>
      <c r="B109" s="46"/>
      <c r="C109" s="46"/>
      <c r="D109" s="47"/>
      <c r="E109" s="47"/>
      <c r="F109" s="44"/>
      <c r="G109" s="47"/>
      <c r="H109" s="48"/>
    </row>
    <row r="110" spans="1:8" x14ac:dyDescent="0.3">
      <c r="A110" s="45"/>
      <c r="B110" s="46"/>
      <c r="C110" s="46"/>
      <c r="D110" s="47"/>
      <c r="E110" s="47"/>
      <c r="F110" s="44"/>
      <c r="G110" s="47"/>
      <c r="H110" s="48"/>
    </row>
    <row r="111" spans="1:8" x14ac:dyDescent="0.3">
      <c r="A111" s="45"/>
      <c r="B111" s="46"/>
      <c r="C111" s="46"/>
      <c r="D111" s="47"/>
      <c r="E111" s="47"/>
      <c r="F111" s="44"/>
      <c r="G111" s="47"/>
      <c r="H111" s="48"/>
    </row>
    <row r="112" spans="1:8" x14ac:dyDescent="0.3">
      <c r="A112" s="45"/>
      <c r="B112" s="46"/>
      <c r="C112" s="46"/>
      <c r="D112" s="47"/>
      <c r="E112" s="47"/>
      <c r="F112" s="44"/>
      <c r="G112" s="47"/>
      <c r="H112" s="48"/>
    </row>
    <row r="113" spans="1:8" x14ac:dyDescent="0.3">
      <c r="A113" s="45"/>
      <c r="B113" s="46"/>
      <c r="C113" s="46"/>
      <c r="D113" s="47"/>
      <c r="E113" s="47"/>
      <c r="F113" s="44"/>
      <c r="G113" s="47"/>
      <c r="H113" s="48"/>
    </row>
    <row r="114" spans="1:8" x14ac:dyDescent="0.3">
      <c r="A114" s="45"/>
      <c r="B114" s="46"/>
      <c r="C114" s="46"/>
      <c r="D114" s="47"/>
      <c r="E114" s="47"/>
      <c r="F114" s="44"/>
      <c r="G114" s="47"/>
      <c r="H114" s="48"/>
    </row>
    <row r="115" spans="1:8" x14ac:dyDescent="0.3">
      <c r="A115" s="45"/>
      <c r="B115" s="46"/>
      <c r="C115" s="46"/>
      <c r="D115" s="47"/>
      <c r="E115" s="47"/>
      <c r="F115" s="44"/>
      <c r="G115" s="47"/>
      <c r="H115" s="48"/>
    </row>
    <row r="116" spans="1:8" x14ac:dyDescent="0.3">
      <c r="A116" s="45"/>
      <c r="B116" s="46"/>
      <c r="C116" s="46"/>
      <c r="D116" s="47"/>
      <c r="E116" s="47"/>
      <c r="F116" s="44"/>
      <c r="G116" s="47"/>
      <c r="H116" s="48"/>
    </row>
    <row r="117" spans="1:8" x14ac:dyDescent="0.3">
      <c r="A117" s="45"/>
      <c r="B117" s="46"/>
      <c r="C117" s="46"/>
      <c r="D117" s="47"/>
      <c r="E117" s="47"/>
      <c r="F117" s="44"/>
      <c r="G117" s="47"/>
      <c r="H117" s="48"/>
    </row>
    <row r="118" spans="1:8" x14ac:dyDescent="0.3">
      <c r="A118" s="45"/>
      <c r="B118" s="46"/>
      <c r="C118" s="46"/>
      <c r="D118" s="47"/>
      <c r="E118" s="47"/>
      <c r="F118" s="44"/>
      <c r="G118" s="47"/>
      <c r="H118" s="48"/>
    </row>
    <row r="119" spans="1:8" x14ac:dyDescent="0.3">
      <c r="A119" s="45"/>
      <c r="B119" s="46"/>
      <c r="C119" s="46"/>
      <c r="D119" s="47"/>
      <c r="E119" s="47"/>
      <c r="F119" s="44"/>
      <c r="G119" s="47"/>
      <c r="H119" s="48"/>
    </row>
    <row r="120" spans="1:8" x14ac:dyDescent="0.3">
      <c r="A120" s="45"/>
      <c r="B120" s="46"/>
      <c r="C120" s="46"/>
      <c r="D120" s="47"/>
      <c r="E120" s="47"/>
      <c r="F120" s="44"/>
      <c r="G120" s="47"/>
      <c r="H120" s="48"/>
    </row>
    <row r="121" spans="1:8" x14ac:dyDescent="0.3">
      <c r="A121" s="45"/>
      <c r="B121" s="46"/>
      <c r="C121" s="46"/>
      <c r="D121" s="47"/>
      <c r="E121" s="47"/>
      <c r="F121" s="44"/>
      <c r="G121" s="47"/>
      <c r="H121" s="48"/>
    </row>
    <row r="122" spans="1:8" x14ac:dyDescent="0.3">
      <c r="A122" s="45"/>
      <c r="B122" s="46"/>
      <c r="C122" s="46"/>
      <c r="D122" s="47"/>
      <c r="E122" s="47"/>
      <c r="F122" s="44"/>
      <c r="G122" s="47"/>
      <c r="H122" s="48"/>
    </row>
    <row r="123" spans="1:8" x14ac:dyDescent="0.3">
      <c r="A123" s="45"/>
      <c r="B123" s="46"/>
      <c r="C123" s="46"/>
      <c r="D123" s="47"/>
      <c r="E123" s="47"/>
      <c r="F123" s="44"/>
      <c r="G123" s="47"/>
      <c r="H123" s="48"/>
    </row>
    <row r="124" spans="1:8" x14ac:dyDescent="0.3">
      <c r="A124" s="45"/>
      <c r="B124" s="46"/>
      <c r="C124" s="46"/>
      <c r="D124" s="47"/>
      <c r="E124" s="47"/>
      <c r="F124" s="44"/>
      <c r="G124" s="47"/>
      <c r="H124" s="48"/>
    </row>
    <row r="125" spans="1:8" x14ac:dyDescent="0.3">
      <c r="A125" s="45"/>
      <c r="B125" s="46"/>
      <c r="C125" s="46"/>
      <c r="D125" s="47"/>
      <c r="E125" s="47"/>
      <c r="F125" s="44"/>
      <c r="G125" s="47"/>
      <c r="H125" s="48"/>
    </row>
    <row r="126" spans="1:8" x14ac:dyDescent="0.3">
      <c r="A126" s="45"/>
      <c r="B126" s="46"/>
      <c r="C126" s="46"/>
      <c r="D126" s="47"/>
      <c r="E126" s="47"/>
      <c r="F126" s="44"/>
      <c r="G126" s="47"/>
      <c r="H126" s="48"/>
    </row>
    <row r="127" spans="1:8" x14ac:dyDescent="0.3">
      <c r="A127" s="45"/>
      <c r="B127" s="46"/>
      <c r="C127" s="46"/>
      <c r="D127" s="47"/>
      <c r="E127" s="47"/>
      <c r="F127" s="44"/>
      <c r="G127" s="47"/>
      <c r="H127" s="48"/>
    </row>
    <row r="128" spans="1:8" x14ac:dyDescent="0.3">
      <c r="A128" s="45"/>
      <c r="B128" s="46"/>
      <c r="C128" s="46"/>
      <c r="D128" s="47"/>
      <c r="E128" s="47"/>
      <c r="F128" s="44"/>
      <c r="G128" s="47"/>
      <c r="H128" s="48"/>
    </row>
    <row r="129" spans="1:8" x14ac:dyDescent="0.3">
      <c r="A129" s="45"/>
      <c r="B129" s="46"/>
      <c r="C129" s="46"/>
      <c r="D129" s="47"/>
      <c r="E129" s="47"/>
      <c r="F129" s="44"/>
      <c r="G129" s="47"/>
      <c r="H129" s="48"/>
    </row>
    <row r="130" spans="1:8" x14ac:dyDescent="0.3">
      <c r="A130" s="45"/>
      <c r="B130" s="46"/>
      <c r="C130" s="46"/>
      <c r="D130" s="47"/>
      <c r="E130" s="47"/>
      <c r="F130" s="44"/>
      <c r="G130" s="47"/>
      <c r="H130" s="48"/>
    </row>
    <row r="131" spans="1:8" x14ac:dyDescent="0.3">
      <c r="A131" s="45"/>
      <c r="B131" s="46"/>
      <c r="C131" s="46"/>
      <c r="D131" s="47"/>
      <c r="E131" s="47"/>
      <c r="F131" s="44"/>
      <c r="G131" s="47"/>
      <c r="H131" s="48"/>
    </row>
    <row r="132" spans="1:8" x14ac:dyDescent="0.3">
      <c r="A132" s="45"/>
      <c r="B132" s="46"/>
      <c r="C132" s="46"/>
      <c r="D132" s="47"/>
      <c r="E132" s="47"/>
      <c r="F132" s="44"/>
      <c r="G132" s="47"/>
      <c r="H132" s="48"/>
    </row>
    <row r="133" spans="1:8" x14ac:dyDescent="0.3">
      <c r="A133" s="45"/>
      <c r="B133" s="46"/>
      <c r="C133" s="46"/>
      <c r="D133" s="47"/>
      <c r="E133" s="47"/>
      <c r="F133" s="44"/>
      <c r="G133" s="47"/>
      <c r="H133" s="48"/>
    </row>
    <row r="134" spans="1:8" x14ac:dyDescent="0.3">
      <c r="A134" s="45"/>
      <c r="B134" s="46"/>
      <c r="C134" s="46"/>
      <c r="D134" s="47"/>
      <c r="E134" s="47"/>
      <c r="F134" s="44"/>
      <c r="G134" s="47"/>
      <c r="H134" s="48"/>
    </row>
    <row r="135" spans="1:8" x14ac:dyDescent="0.3">
      <c r="A135" s="45"/>
      <c r="B135" s="46"/>
      <c r="C135" s="46"/>
      <c r="D135" s="47"/>
      <c r="E135" s="47"/>
      <c r="F135" s="44"/>
      <c r="G135" s="47"/>
      <c r="H135" s="48"/>
    </row>
    <row r="136" spans="1:8" x14ac:dyDescent="0.3">
      <c r="A136" s="45"/>
      <c r="B136" s="46"/>
      <c r="C136" s="46"/>
      <c r="D136" s="47"/>
      <c r="E136" s="47"/>
      <c r="F136" s="44"/>
      <c r="G136" s="47"/>
      <c r="H136" s="48"/>
    </row>
    <row r="137" spans="1:8" x14ac:dyDescent="0.3">
      <c r="A137" s="45"/>
      <c r="B137" s="46"/>
      <c r="C137" s="46"/>
      <c r="D137" s="47"/>
      <c r="E137" s="47"/>
      <c r="F137" s="44"/>
      <c r="G137" s="47"/>
      <c r="H137" s="48"/>
    </row>
    <row r="138" spans="1:8" x14ac:dyDescent="0.3">
      <c r="A138" s="45"/>
      <c r="B138" s="46"/>
      <c r="C138" s="46"/>
      <c r="D138" s="47"/>
      <c r="E138" s="47"/>
      <c r="F138" s="44"/>
      <c r="G138" s="47"/>
      <c r="H138" s="48"/>
    </row>
    <row r="139" spans="1:8" x14ac:dyDescent="0.3">
      <c r="A139" s="45"/>
      <c r="B139" s="46"/>
      <c r="C139" s="46"/>
      <c r="D139" s="47"/>
      <c r="E139" s="47"/>
      <c r="F139" s="44"/>
      <c r="G139" s="47"/>
      <c r="H139" s="48"/>
    </row>
    <row r="140" spans="1:8" x14ac:dyDescent="0.3">
      <c r="A140" s="45"/>
      <c r="B140" s="46"/>
      <c r="C140" s="46"/>
      <c r="D140" s="47"/>
      <c r="E140" s="47"/>
      <c r="F140" s="44"/>
      <c r="G140" s="47"/>
      <c r="H140" s="48"/>
    </row>
    <row r="141" spans="1:8" x14ac:dyDescent="0.3">
      <c r="A141" s="45"/>
      <c r="B141" s="46"/>
      <c r="C141" s="46"/>
      <c r="D141" s="47"/>
      <c r="E141" s="47"/>
      <c r="F141" s="44"/>
      <c r="G141" s="47"/>
      <c r="H141" s="48"/>
    </row>
    <row r="142" spans="1:8" x14ac:dyDescent="0.3">
      <c r="A142" s="45"/>
      <c r="B142" s="46"/>
      <c r="C142" s="46"/>
      <c r="D142" s="47"/>
      <c r="E142" s="47"/>
      <c r="F142" s="44"/>
      <c r="G142" s="47"/>
      <c r="H142" s="48"/>
    </row>
    <row r="143" spans="1:8" x14ac:dyDescent="0.3">
      <c r="A143" s="45"/>
      <c r="B143" s="46"/>
      <c r="C143" s="46"/>
      <c r="D143" s="47"/>
      <c r="E143" s="47"/>
      <c r="F143" s="44"/>
      <c r="G143" s="47"/>
      <c r="H143" s="48"/>
    </row>
    <row r="144" spans="1:8" x14ac:dyDescent="0.3">
      <c r="A144" s="45"/>
      <c r="B144" s="46"/>
      <c r="C144" s="46"/>
      <c r="D144" s="47"/>
      <c r="E144" s="47"/>
      <c r="F144" s="44"/>
      <c r="G144" s="47"/>
      <c r="H144" s="48"/>
    </row>
    <row r="145" spans="1:8" x14ac:dyDescent="0.3">
      <c r="A145" s="45"/>
      <c r="B145" s="46"/>
      <c r="C145" s="46"/>
      <c r="D145" s="47"/>
      <c r="E145" s="47"/>
      <c r="F145" s="44"/>
      <c r="G145" s="47"/>
      <c r="H145" s="48"/>
    </row>
    <row r="146" spans="1:8" x14ac:dyDescent="0.3">
      <c r="A146" s="45"/>
      <c r="B146" s="46"/>
      <c r="C146" s="46"/>
      <c r="D146" s="47"/>
      <c r="E146" s="47"/>
      <c r="F146" s="44"/>
      <c r="G146" s="47"/>
      <c r="H146" s="48"/>
    </row>
    <row r="147" spans="1:8" x14ac:dyDescent="0.3">
      <c r="A147" s="45"/>
      <c r="B147" s="46"/>
      <c r="C147" s="46"/>
      <c r="D147" s="47"/>
      <c r="E147" s="47"/>
      <c r="F147" s="44"/>
      <c r="G147" s="47"/>
      <c r="H147" s="48"/>
    </row>
    <row r="148" spans="1:8" x14ac:dyDescent="0.3">
      <c r="A148" s="45"/>
      <c r="B148" s="46"/>
      <c r="C148" s="46"/>
      <c r="D148" s="47"/>
      <c r="E148" s="47"/>
      <c r="F148" s="44"/>
      <c r="G148" s="47"/>
      <c r="H148" s="48"/>
    </row>
    <row r="149" spans="1:8" x14ac:dyDescent="0.3">
      <c r="A149" s="45"/>
      <c r="B149" s="46"/>
      <c r="C149" s="46"/>
      <c r="D149" s="47"/>
      <c r="E149" s="47"/>
      <c r="F149" s="44"/>
      <c r="G149" s="47"/>
      <c r="H149" s="48"/>
    </row>
    <row r="150" spans="1:8" x14ac:dyDescent="0.3">
      <c r="A150" s="45"/>
      <c r="B150" s="46"/>
      <c r="C150" s="46"/>
      <c r="D150" s="47"/>
      <c r="E150" s="47"/>
      <c r="F150" s="44"/>
      <c r="G150" s="47"/>
      <c r="H150" s="48"/>
    </row>
    <row r="151" spans="1:8" x14ac:dyDescent="0.3">
      <c r="A151" s="45"/>
      <c r="B151" s="46"/>
      <c r="C151" s="46"/>
      <c r="D151" s="47"/>
      <c r="E151" s="47"/>
      <c r="F151" s="44"/>
      <c r="G151" s="47"/>
      <c r="H151" s="48"/>
    </row>
    <row r="152" spans="1:8" x14ac:dyDescent="0.3">
      <c r="A152" s="45"/>
      <c r="B152" s="46"/>
      <c r="C152" s="46"/>
      <c r="D152" s="47"/>
      <c r="E152" s="47"/>
      <c r="F152" s="44"/>
      <c r="G152" s="47"/>
      <c r="H152" s="48"/>
    </row>
    <row r="153" spans="1:8" x14ac:dyDescent="0.3">
      <c r="A153" s="45"/>
      <c r="B153" s="46"/>
      <c r="C153" s="46"/>
      <c r="D153" s="47"/>
      <c r="E153" s="47"/>
      <c r="F153" s="44"/>
      <c r="G153" s="47"/>
      <c r="H153" s="48"/>
    </row>
    <row r="154" spans="1:8" x14ac:dyDescent="0.3">
      <c r="A154" s="45"/>
      <c r="B154" s="46"/>
      <c r="C154" s="46"/>
      <c r="D154" s="47"/>
      <c r="E154" s="47"/>
      <c r="F154" s="44"/>
      <c r="G154" s="47"/>
      <c r="H154" s="48"/>
    </row>
    <row r="155" spans="1:8" x14ac:dyDescent="0.3">
      <c r="A155" s="45"/>
      <c r="B155" s="46"/>
      <c r="C155" s="46"/>
      <c r="D155" s="47"/>
      <c r="E155" s="47"/>
      <c r="F155" s="44"/>
      <c r="G155" s="47"/>
      <c r="H155" s="48"/>
    </row>
    <row r="156" spans="1:8" x14ac:dyDescent="0.3">
      <c r="A156" s="45"/>
      <c r="B156" s="46"/>
      <c r="C156" s="46"/>
      <c r="D156" s="47"/>
      <c r="E156" s="47"/>
      <c r="F156" s="44"/>
      <c r="G156" s="47"/>
      <c r="H156" s="48"/>
    </row>
    <row r="157" spans="1:8" x14ac:dyDescent="0.3">
      <c r="A157" s="45"/>
      <c r="B157" s="46"/>
      <c r="C157" s="46"/>
      <c r="D157" s="47"/>
      <c r="E157" s="47"/>
      <c r="F157" s="44"/>
      <c r="G157" s="47"/>
      <c r="H157" s="48"/>
    </row>
    <row r="158" spans="1:8" x14ac:dyDescent="0.3">
      <c r="A158" s="45"/>
      <c r="B158" s="46"/>
      <c r="C158" s="46"/>
      <c r="D158" s="47"/>
      <c r="E158" s="47"/>
      <c r="F158" s="44"/>
      <c r="G158" s="47"/>
      <c r="H158" s="48"/>
    </row>
    <row r="159" spans="1:8" x14ac:dyDescent="0.3">
      <c r="A159" s="45"/>
      <c r="B159" s="46"/>
      <c r="C159" s="46"/>
      <c r="D159" s="47"/>
      <c r="E159" s="47"/>
      <c r="F159" s="44"/>
      <c r="G159" s="47"/>
      <c r="H159" s="48"/>
    </row>
    <row r="160" spans="1:8" x14ac:dyDescent="0.3">
      <c r="A160" s="45"/>
      <c r="B160" s="46"/>
      <c r="C160" s="46"/>
      <c r="D160" s="47"/>
      <c r="E160" s="47"/>
      <c r="F160" s="44"/>
      <c r="G160" s="47"/>
      <c r="H160" s="48"/>
    </row>
    <row r="161" spans="1:8" x14ac:dyDescent="0.3">
      <c r="A161" s="45"/>
      <c r="B161" s="46"/>
      <c r="C161" s="46"/>
      <c r="D161" s="47"/>
      <c r="E161" s="47"/>
      <c r="F161" s="44"/>
      <c r="G161" s="47"/>
      <c r="H161" s="48"/>
    </row>
    <row r="162" spans="1:8" x14ac:dyDescent="0.3">
      <c r="A162" s="45"/>
      <c r="B162" s="46"/>
      <c r="C162" s="46"/>
      <c r="D162" s="47"/>
      <c r="E162" s="47"/>
      <c r="F162" s="44"/>
      <c r="G162" s="47"/>
      <c r="H162" s="48"/>
    </row>
    <row r="163" spans="1:8" x14ac:dyDescent="0.3">
      <c r="A163" s="45"/>
      <c r="B163" s="46"/>
      <c r="C163" s="46"/>
      <c r="D163" s="47"/>
      <c r="E163" s="47"/>
      <c r="F163" s="44"/>
      <c r="G163" s="47"/>
      <c r="H163" s="48"/>
    </row>
    <row r="164" spans="1:8" x14ac:dyDescent="0.3">
      <c r="A164" s="45"/>
      <c r="B164" s="46"/>
      <c r="C164" s="46"/>
      <c r="D164" s="47"/>
      <c r="E164" s="47"/>
      <c r="F164" s="44"/>
      <c r="G164" s="47"/>
      <c r="H164" s="48"/>
    </row>
    <row r="165" spans="1:8" x14ac:dyDescent="0.3">
      <c r="A165" s="45"/>
      <c r="B165" s="46"/>
      <c r="C165" s="46"/>
      <c r="D165" s="47"/>
      <c r="E165" s="47"/>
      <c r="F165" s="44"/>
      <c r="G165" s="47"/>
      <c r="H165" s="48"/>
    </row>
    <row r="166" spans="1:8" x14ac:dyDescent="0.3">
      <c r="A166" s="45"/>
      <c r="B166" s="46"/>
      <c r="C166" s="46"/>
      <c r="D166" s="47"/>
      <c r="E166" s="47"/>
      <c r="F166" s="44"/>
      <c r="G166" s="47"/>
      <c r="H166" s="48"/>
    </row>
    <row r="167" spans="1:8" x14ac:dyDescent="0.3">
      <c r="A167" s="45"/>
      <c r="B167" s="46"/>
      <c r="C167" s="46"/>
      <c r="D167" s="47"/>
      <c r="E167" s="47"/>
      <c r="F167" s="44"/>
      <c r="G167" s="47"/>
      <c r="H167" s="48"/>
    </row>
    <row r="168" spans="1:8" x14ac:dyDescent="0.3">
      <c r="A168" s="45"/>
      <c r="B168" s="46"/>
      <c r="C168" s="46"/>
      <c r="D168" s="47"/>
      <c r="E168" s="47"/>
      <c r="F168" s="44"/>
      <c r="G168" s="47"/>
      <c r="H168" s="48"/>
    </row>
    <row r="169" spans="1:8" x14ac:dyDescent="0.3">
      <c r="A169" s="45"/>
      <c r="B169" s="46"/>
      <c r="C169" s="46"/>
      <c r="D169" s="47"/>
      <c r="E169" s="47"/>
      <c r="F169" s="44"/>
      <c r="G169" s="47"/>
      <c r="H169" s="48"/>
    </row>
    <row r="170" spans="1:8" x14ac:dyDescent="0.3">
      <c r="A170" s="45"/>
      <c r="B170" s="46"/>
      <c r="C170" s="46"/>
      <c r="D170" s="47"/>
      <c r="E170" s="47"/>
      <c r="F170" s="44"/>
      <c r="G170" s="47"/>
      <c r="H170" s="48"/>
    </row>
    <row r="171" spans="1:8" x14ac:dyDescent="0.3">
      <c r="A171" s="45"/>
      <c r="B171" s="46"/>
      <c r="C171" s="46"/>
      <c r="D171" s="47"/>
      <c r="E171" s="47"/>
      <c r="F171" s="44"/>
      <c r="G171" s="47"/>
      <c r="H171" s="48"/>
    </row>
    <row r="172" spans="1:8" x14ac:dyDescent="0.3">
      <c r="A172" s="45"/>
      <c r="B172" s="46"/>
      <c r="C172" s="46"/>
      <c r="D172" s="47"/>
      <c r="E172" s="47"/>
      <c r="F172" s="44"/>
      <c r="G172" s="47"/>
      <c r="H172" s="48"/>
    </row>
    <row r="173" spans="1:8" x14ac:dyDescent="0.3">
      <c r="A173" s="45"/>
      <c r="B173" s="46"/>
      <c r="C173" s="46"/>
      <c r="D173" s="47"/>
      <c r="E173" s="47"/>
      <c r="F173" s="44"/>
      <c r="G173" s="47"/>
      <c r="H173" s="48"/>
    </row>
    <row r="174" spans="1:8" x14ac:dyDescent="0.3">
      <c r="A174" s="45"/>
      <c r="B174" s="46"/>
      <c r="C174" s="46"/>
      <c r="D174" s="47"/>
      <c r="E174" s="47"/>
      <c r="F174" s="44"/>
      <c r="G174" s="47"/>
      <c r="H174" s="48"/>
    </row>
    <row r="175" spans="1:8" x14ac:dyDescent="0.3">
      <c r="A175" s="45"/>
      <c r="B175" s="46"/>
      <c r="C175" s="46"/>
      <c r="D175" s="47"/>
      <c r="E175" s="47"/>
      <c r="F175" s="44"/>
      <c r="G175" s="47"/>
      <c r="H175" s="48"/>
    </row>
    <row r="176" spans="1:8" x14ac:dyDescent="0.3">
      <c r="A176" s="45"/>
      <c r="B176" s="46"/>
      <c r="C176" s="46"/>
      <c r="D176" s="47"/>
      <c r="E176" s="47"/>
      <c r="F176" s="44"/>
      <c r="G176" s="47"/>
      <c r="H176" s="48"/>
    </row>
    <row r="177" spans="1:8" x14ac:dyDescent="0.3">
      <c r="A177" s="45"/>
      <c r="B177" s="46"/>
      <c r="C177" s="46"/>
      <c r="D177" s="47"/>
      <c r="E177" s="47"/>
      <c r="F177" s="44"/>
      <c r="G177" s="47"/>
      <c r="H177" s="48"/>
    </row>
    <row r="178" spans="1:8" x14ac:dyDescent="0.3">
      <c r="A178" s="45"/>
      <c r="B178" s="46"/>
      <c r="C178" s="46"/>
      <c r="D178" s="47"/>
      <c r="E178" s="47"/>
      <c r="F178" s="44"/>
      <c r="G178" s="47"/>
      <c r="H178" s="48"/>
    </row>
    <row r="179" spans="1:8" x14ac:dyDescent="0.3">
      <c r="A179" s="45"/>
      <c r="B179" s="46"/>
      <c r="C179" s="46"/>
      <c r="D179" s="47"/>
      <c r="E179" s="47"/>
      <c r="F179" s="44"/>
      <c r="G179" s="47"/>
      <c r="H179" s="48"/>
    </row>
    <row r="180" spans="1:8" x14ac:dyDescent="0.3">
      <c r="A180" s="45"/>
      <c r="B180" s="46"/>
      <c r="C180" s="46"/>
      <c r="D180" s="47"/>
      <c r="E180" s="47"/>
      <c r="F180" s="44"/>
      <c r="G180" s="47"/>
      <c r="H180" s="48"/>
    </row>
    <row r="181" spans="1:8" x14ac:dyDescent="0.3">
      <c r="A181" s="45"/>
      <c r="B181" s="46"/>
      <c r="C181" s="46"/>
      <c r="D181" s="47"/>
      <c r="E181" s="47"/>
      <c r="F181" s="44"/>
      <c r="G181" s="47"/>
      <c r="H181" s="48"/>
    </row>
    <row r="182" spans="1:8" x14ac:dyDescent="0.3">
      <c r="A182" s="45"/>
      <c r="B182" s="46"/>
      <c r="C182" s="46"/>
      <c r="D182" s="47"/>
      <c r="E182" s="47"/>
      <c r="F182" s="44"/>
      <c r="G182" s="47"/>
      <c r="H182" s="48"/>
    </row>
    <row r="183" spans="1:8" x14ac:dyDescent="0.3">
      <c r="A183" s="45"/>
      <c r="B183" s="46"/>
      <c r="C183" s="46"/>
      <c r="D183" s="47"/>
      <c r="E183" s="47"/>
      <c r="F183" s="44"/>
      <c r="G183" s="47"/>
      <c r="H183" s="48"/>
    </row>
    <row r="184" spans="1:8" x14ac:dyDescent="0.3">
      <c r="A184" s="45"/>
      <c r="B184" s="46"/>
      <c r="C184" s="46"/>
      <c r="D184" s="47"/>
      <c r="E184" s="47"/>
      <c r="F184" s="44"/>
      <c r="G184" s="47"/>
      <c r="H184" s="48"/>
    </row>
    <row r="185" spans="1:8" x14ac:dyDescent="0.3">
      <c r="A185" s="45"/>
      <c r="B185" s="46"/>
      <c r="C185" s="46"/>
      <c r="D185" s="47"/>
      <c r="E185" s="47"/>
      <c r="F185" s="44"/>
      <c r="G185" s="47"/>
      <c r="H185" s="48"/>
    </row>
    <row r="186" spans="1:8" x14ac:dyDescent="0.3">
      <c r="A186" s="45"/>
      <c r="B186" s="46"/>
      <c r="C186" s="46"/>
      <c r="D186" s="47"/>
      <c r="E186" s="47"/>
      <c r="F186" s="44"/>
      <c r="G186" s="47"/>
      <c r="H186" s="48"/>
    </row>
    <row r="187" spans="1:8" x14ac:dyDescent="0.3">
      <c r="A187" s="45"/>
      <c r="B187" s="46"/>
      <c r="C187" s="46"/>
      <c r="D187" s="47"/>
      <c r="E187" s="47"/>
      <c r="F187" s="44"/>
      <c r="G187" s="47"/>
      <c r="H187" s="48"/>
    </row>
    <row r="188" spans="1:8" x14ac:dyDescent="0.3">
      <c r="A188" s="45"/>
      <c r="B188" s="46"/>
      <c r="C188" s="46"/>
      <c r="D188" s="47"/>
      <c r="E188" s="47"/>
      <c r="F188" s="44"/>
      <c r="G188" s="47"/>
      <c r="H188" s="48"/>
    </row>
    <row r="189" spans="1:8" x14ac:dyDescent="0.3">
      <c r="A189" s="45"/>
      <c r="B189" s="46"/>
      <c r="C189" s="46"/>
      <c r="D189" s="47"/>
      <c r="E189" s="47"/>
      <c r="F189" s="44"/>
      <c r="G189" s="47"/>
      <c r="H189" s="48"/>
    </row>
    <row r="190" spans="1:8" x14ac:dyDescent="0.3">
      <c r="A190" s="45"/>
      <c r="B190" s="46"/>
      <c r="C190" s="46"/>
      <c r="D190" s="47"/>
      <c r="E190" s="47"/>
      <c r="F190" s="44"/>
      <c r="G190" s="47"/>
      <c r="H190" s="48"/>
    </row>
    <row r="191" spans="1:8" x14ac:dyDescent="0.3">
      <c r="A191" s="45"/>
      <c r="B191" s="46"/>
      <c r="C191" s="46"/>
      <c r="D191" s="47"/>
      <c r="E191" s="47"/>
      <c r="F191" s="44"/>
      <c r="G191" s="47"/>
      <c r="H191" s="48"/>
    </row>
    <row r="192" spans="1:8" x14ac:dyDescent="0.3">
      <c r="A192" s="45"/>
      <c r="B192" s="46"/>
      <c r="C192" s="46"/>
      <c r="D192" s="47"/>
      <c r="E192" s="47"/>
      <c r="F192" s="44"/>
      <c r="G192" s="47"/>
      <c r="H192" s="48"/>
    </row>
    <row r="193" spans="1:8" x14ac:dyDescent="0.3">
      <c r="A193" s="45"/>
      <c r="B193" s="46"/>
      <c r="C193" s="46"/>
      <c r="D193" s="47"/>
      <c r="E193" s="47"/>
      <c r="F193" s="44"/>
      <c r="G193" s="47"/>
      <c r="H193" s="48"/>
    </row>
    <row r="194" spans="1:8" x14ac:dyDescent="0.3">
      <c r="A194" s="45"/>
      <c r="B194" s="46"/>
      <c r="C194" s="46"/>
      <c r="D194" s="47"/>
      <c r="E194" s="47"/>
      <c r="F194" s="44"/>
      <c r="G194" s="47"/>
      <c r="H194" s="48"/>
    </row>
    <row r="195" spans="1:8" x14ac:dyDescent="0.3">
      <c r="A195" s="45"/>
      <c r="B195" s="46"/>
      <c r="C195" s="46"/>
      <c r="D195" s="47"/>
      <c r="E195" s="47"/>
      <c r="F195" s="44"/>
      <c r="G195" s="47"/>
      <c r="H195" s="48"/>
    </row>
    <row r="196" spans="1:8" x14ac:dyDescent="0.3">
      <c r="A196" s="45"/>
      <c r="B196" s="46"/>
      <c r="C196" s="46"/>
      <c r="D196" s="47"/>
      <c r="E196" s="47"/>
      <c r="F196" s="44"/>
      <c r="G196" s="47"/>
      <c r="H196" s="48"/>
    </row>
    <row r="197" spans="1:8" x14ac:dyDescent="0.3">
      <c r="A197" s="45"/>
      <c r="B197" s="46"/>
      <c r="C197" s="46"/>
      <c r="D197" s="47"/>
      <c r="E197" s="47"/>
      <c r="F197" s="44"/>
      <c r="G197" s="47"/>
      <c r="H197" s="48"/>
    </row>
    <row r="198" spans="1:8" x14ac:dyDescent="0.3">
      <c r="A198" s="45"/>
      <c r="B198" s="46"/>
      <c r="C198" s="46"/>
      <c r="D198" s="47"/>
      <c r="E198" s="47"/>
      <c r="F198" s="44"/>
      <c r="G198" s="47"/>
      <c r="H198" s="48"/>
    </row>
    <row r="199" spans="1:8" x14ac:dyDescent="0.3">
      <c r="A199" s="45"/>
      <c r="B199" s="46"/>
      <c r="C199" s="46"/>
      <c r="D199" s="47"/>
      <c r="E199" s="47"/>
      <c r="F199" s="44"/>
      <c r="G199" s="47"/>
      <c r="H199" s="48"/>
    </row>
    <row r="200" spans="1:8" x14ac:dyDescent="0.3">
      <c r="A200" s="45"/>
      <c r="B200" s="46"/>
      <c r="C200" s="46"/>
      <c r="D200" s="47"/>
      <c r="E200" s="47"/>
      <c r="F200" s="44"/>
      <c r="G200" s="47"/>
      <c r="H200" s="48"/>
    </row>
    <row r="201" spans="1:8" x14ac:dyDescent="0.3">
      <c r="A201" s="45"/>
      <c r="B201" s="46"/>
      <c r="C201" s="46"/>
      <c r="D201" s="47"/>
      <c r="E201" s="47"/>
      <c r="F201" s="44"/>
      <c r="G201" s="47"/>
      <c r="H201" s="48"/>
    </row>
    <row r="202" spans="1:8" x14ac:dyDescent="0.3">
      <c r="A202" s="45"/>
      <c r="B202" s="46"/>
      <c r="C202" s="46"/>
      <c r="D202" s="47"/>
      <c r="E202" s="47"/>
      <c r="F202" s="44"/>
      <c r="G202" s="47"/>
      <c r="H202" s="48"/>
    </row>
    <row r="203" spans="1:8" x14ac:dyDescent="0.3">
      <c r="A203" s="45"/>
      <c r="B203" s="46"/>
      <c r="C203" s="46"/>
      <c r="D203" s="47"/>
      <c r="E203" s="47"/>
      <c r="F203" s="44"/>
      <c r="G203" s="47"/>
      <c r="H203" s="48"/>
    </row>
    <row r="204" spans="1:8" x14ac:dyDescent="0.3">
      <c r="A204" s="45"/>
      <c r="B204" s="46"/>
      <c r="C204" s="46"/>
      <c r="D204" s="47"/>
      <c r="E204" s="47"/>
      <c r="F204" s="44"/>
      <c r="G204" s="47"/>
      <c r="H204" s="48"/>
    </row>
    <row r="205" spans="1:8" x14ac:dyDescent="0.3">
      <c r="A205" s="45"/>
      <c r="B205" s="46"/>
      <c r="C205" s="46"/>
      <c r="D205" s="47"/>
      <c r="E205" s="47"/>
      <c r="F205" s="44"/>
      <c r="G205" s="47"/>
      <c r="H205" s="48"/>
    </row>
    <row r="206" spans="1:8" x14ac:dyDescent="0.3">
      <c r="A206" s="45"/>
      <c r="B206" s="46"/>
      <c r="C206" s="46"/>
      <c r="D206" s="47"/>
      <c r="E206" s="47"/>
      <c r="F206" s="44"/>
      <c r="G206" s="47"/>
      <c r="H206" s="48"/>
    </row>
    <row r="207" spans="1:8" x14ac:dyDescent="0.3">
      <c r="A207" s="45"/>
      <c r="B207" s="46"/>
      <c r="C207" s="46"/>
      <c r="D207" s="47"/>
      <c r="E207" s="47"/>
      <c r="F207" s="44"/>
      <c r="G207" s="47"/>
      <c r="H207" s="48"/>
    </row>
    <row r="208" spans="1:8" x14ac:dyDescent="0.3">
      <c r="A208" s="45"/>
      <c r="B208" s="46"/>
      <c r="C208" s="46"/>
      <c r="D208" s="47"/>
      <c r="E208" s="47"/>
      <c r="F208" s="44"/>
      <c r="G208" s="47"/>
      <c r="H208" s="48"/>
    </row>
    <row r="209" spans="1:8" x14ac:dyDescent="0.3">
      <c r="A209" s="45"/>
      <c r="B209" s="46"/>
      <c r="C209" s="46"/>
      <c r="D209" s="47"/>
      <c r="E209" s="47"/>
      <c r="F209" s="44"/>
      <c r="G209" s="47"/>
      <c r="H209" s="48"/>
    </row>
    <row r="210" spans="1:8" x14ac:dyDescent="0.3">
      <c r="A210" s="45"/>
      <c r="B210" s="46"/>
      <c r="C210" s="46"/>
      <c r="D210" s="47"/>
      <c r="E210" s="47"/>
      <c r="F210" s="44"/>
      <c r="G210" s="47"/>
      <c r="H210" s="48"/>
    </row>
    <row r="211" spans="1:8" x14ac:dyDescent="0.3">
      <c r="A211" s="45"/>
      <c r="B211" s="46"/>
      <c r="C211" s="46"/>
      <c r="D211" s="47"/>
      <c r="E211" s="47"/>
      <c r="F211" s="44"/>
      <c r="G211" s="47"/>
      <c r="H211" s="48"/>
    </row>
    <row r="212" spans="1:8" x14ac:dyDescent="0.3">
      <c r="A212" s="45"/>
      <c r="B212" s="46"/>
      <c r="C212" s="46"/>
      <c r="D212" s="47"/>
      <c r="E212" s="47"/>
      <c r="F212" s="44"/>
      <c r="G212" s="47"/>
      <c r="H212" s="48"/>
    </row>
    <row r="213" spans="1:8" x14ac:dyDescent="0.3">
      <c r="A213" s="45"/>
      <c r="B213" s="46"/>
      <c r="C213" s="46"/>
      <c r="D213" s="47"/>
      <c r="E213" s="47"/>
      <c r="F213" s="44"/>
      <c r="G213" s="47"/>
      <c r="H213" s="48"/>
    </row>
    <row r="214" spans="1:8" x14ac:dyDescent="0.3">
      <c r="A214" s="45"/>
      <c r="B214" s="46"/>
      <c r="C214" s="46"/>
      <c r="D214" s="47"/>
      <c r="E214" s="47"/>
      <c r="F214" s="44"/>
      <c r="G214" s="47"/>
      <c r="H214" s="48"/>
    </row>
    <row r="215" spans="1:8" x14ac:dyDescent="0.3">
      <c r="A215" s="45"/>
      <c r="B215" s="46"/>
      <c r="C215" s="46"/>
      <c r="D215" s="47"/>
      <c r="E215" s="47"/>
      <c r="F215" s="44"/>
      <c r="G215" s="47"/>
      <c r="H215" s="48"/>
    </row>
    <row r="216" spans="1:8" x14ac:dyDescent="0.3">
      <c r="A216" s="45"/>
      <c r="B216" s="46"/>
      <c r="C216" s="46"/>
      <c r="D216" s="47"/>
      <c r="E216" s="47"/>
      <c r="F216" s="44"/>
      <c r="G216" s="47"/>
      <c r="H216" s="48"/>
    </row>
    <row r="217" spans="1:8" x14ac:dyDescent="0.3">
      <c r="A217" s="45"/>
      <c r="B217" s="46"/>
      <c r="C217" s="46"/>
      <c r="D217" s="47"/>
      <c r="E217" s="47"/>
      <c r="F217" s="44"/>
      <c r="G217" s="47"/>
      <c r="H217" s="48"/>
    </row>
    <row r="218" spans="1:8" x14ac:dyDescent="0.3">
      <c r="A218" s="45"/>
      <c r="B218" s="46"/>
      <c r="C218" s="46"/>
      <c r="D218" s="47"/>
      <c r="E218" s="47"/>
      <c r="F218" s="44"/>
      <c r="G218" s="47"/>
      <c r="H218" s="48"/>
    </row>
    <row r="219" spans="1:8" x14ac:dyDescent="0.3">
      <c r="A219" s="45"/>
      <c r="B219" s="46"/>
      <c r="C219" s="46"/>
      <c r="D219" s="47"/>
      <c r="E219" s="47"/>
      <c r="F219" s="44"/>
      <c r="G219" s="47"/>
      <c r="H219" s="48"/>
    </row>
    <row r="220" spans="1:8" x14ac:dyDescent="0.3">
      <c r="A220" s="45"/>
      <c r="B220" s="46"/>
      <c r="C220" s="46"/>
      <c r="D220" s="47"/>
      <c r="E220" s="47"/>
      <c r="F220" s="44"/>
      <c r="G220" s="47"/>
      <c r="H220" s="48"/>
    </row>
    <row r="221" spans="1:8" x14ac:dyDescent="0.3">
      <c r="A221" s="45"/>
      <c r="B221" s="46"/>
      <c r="C221" s="46"/>
      <c r="D221" s="47"/>
      <c r="E221" s="47"/>
      <c r="F221" s="44"/>
      <c r="G221" s="47"/>
      <c r="H221" s="48"/>
    </row>
    <row r="222" spans="1:8" x14ac:dyDescent="0.3">
      <c r="A222" s="45"/>
      <c r="B222" s="46"/>
      <c r="C222" s="46"/>
      <c r="D222" s="47"/>
      <c r="E222" s="47"/>
      <c r="F222" s="44"/>
      <c r="G222" s="47"/>
      <c r="H222" s="48"/>
    </row>
    <row r="223" spans="1:8" x14ac:dyDescent="0.3">
      <c r="A223" s="45"/>
      <c r="B223" s="46"/>
      <c r="C223" s="46"/>
      <c r="D223" s="47"/>
      <c r="E223" s="47"/>
      <c r="F223" s="44"/>
      <c r="G223" s="47"/>
      <c r="H223" s="48"/>
    </row>
    <row r="224" spans="1:8" x14ac:dyDescent="0.3">
      <c r="A224" s="45"/>
      <c r="B224" s="46"/>
      <c r="C224" s="46"/>
      <c r="D224" s="47"/>
      <c r="E224" s="47"/>
      <c r="F224" s="44"/>
      <c r="G224" s="47"/>
      <c r="H224" s="48"/>
    </row>
    <row r="225" spans="1:8" x14ac:dyDescent="0.3">
      <c r="A225" s="45"/>
      <c r="B225" s="46"/>
      <c r="C225" s="46"/>
      <c r="D225" s="47"/>
      <c r="E225" s="47"/>
      <c r="F225" s="44"/>
      <c r="G225" s="47"/>
      <c r="H225" s="48"/>
    </row>
    <row r="226" spans="1:8" x14ac:dyDescent="0.3">
      <c r="A226" s="45"/>
      <c r="B226" s="46"/>
      <c r="C226" s="46"/>
      <c r="D226" s="47"/>
      <c r="E226" s="47"/>
      <c r="F226" s="44"/>
      <c r="G226" s="47"/>
      <c r="H226" s="48"/>
    </row>
    <row r="227" spans="1:8" x14ac:dyDescent="0.3">
      <c r="A227" s="45"/>
      <c r="B227" s="46"/>
      <c r="C227" s="46"/>
      <c r="D227" s="47"/>
      <c r="E227" s="47"/>
      <c r="F227" s="44"/>
      <c r="G227" s="47"/>
      <c r="H227" s="48"/>
    </row>
    <row r="228" spans="1:8" x14ac:dyDescent="0.3">
      <c r="A228" s="45"/>
      <c r="B228" s="46"/>
      <c r="C228" s="46"/>
      <c r="D228" s="47"/>
      <c r="E228" s="47"/>
      <c r="F228" s="44"/>
      <c r="G228" s="47"/>
      <c r="H228" s="48"/>
    </row>
    <row r="229" spans="1:8" x14ac:dyDescent="0.3">
      <c r="A229" s="45"/>
      <c r="B229" s="46"/>
      <c r="C229" s="46"/>
      <c r="D229" s="47"/>
      <c r="E229" s="47"/>
      <c r="F229" s="44"/>
      <c r="G229" s="47"/>
      <c r="H229" s="48"/>
    </row>
    <row r="230" spans="1:8" x14ac:dyDescent="0.3">
      <c r="A230" s="45"/>
      <c r="B230" s="46"/>
      <c r="C230" s="46"/>
      <c r="D230" s="47"/>
      <c r="E230" s="47"/>
      <c r="F230" s="44"/>
      <c r="G230" s="47"/>
      <c r="H230" s="48"/>
    </row>
    <row r="231" spans="1:8" x14ac:dyDescent="0.3">
      <c r="A231" s="45"/>
      <c r="B231" s="46"/>
      <c r="C231" s="46"/>
      <c r="D231" s="47"/>
      <c r="E231" s="47"/>
      <c r="F231" s="44"/>
      <c r="G231" s="47"/>
      <c r="H231" s="48"/>
    </row>
    <row r="232" spans="1:8" x14ac:dyDescent="0.3">
      <c r="A232" s="45"/>
      <c r="B232" s="46"/>
      <c r="C232" s="46"/>
      <c r="D232" s="47"/>
      <c r="E232" s="47"/>
      <c r="F232" s="44"/>
      <c r="G232" s="47"/>
      <c r="H232" s="48"/>
    </row>
    <row r="233" spans="1:8" x14ac:dyDescent="0.3">
      <c r="A233" s="45"/>
      <c r="B233" s="46"/>
      <c r="C233" s="46"/>
      <c r="D233" s="47"/>
      <c r="E233" s="47"/>
      <c r="F233" s="44"/>
      <c r="G233" s="47"/>
      <c r="H233" s="48"/>
    </row>
    <row r="234" spans="1:8" x14ac:dyDescent="0.3">
      <c r="A234" s="45"/>
      <c r="B234" s="46"/>
      <c r="C234" s="46"/>
      <c r="D234" s="47"/>
      <c r="E234" s="47"/>
      <c r="F234" s="44"/>
      <c r="G234" s="47"/>
      <c r="H234" s="48"/>
    </row>
    <row r="235" spans="1:8" x14ac:dyDescent="0.3">
      <c r="A235" s="45"/>
      <c r="B235" s="46"/>
      <c r="C235" s="46"/>
      <c r="D235" s="47"/>
      <c r="E235" s="47"/>
      <c r="F235" s="44"/>
      <c r="G235" s="47"/>
      <c r="H235" s="48"/>
    </row>
    <row r="236" spans="1:8" x14ac:dyDescent="0.3">
      <c r="A236" s="45"/>
      <c r="B236" s="46"/>
      <c r="C236" s="46"/>
      <c r="D236" s="47"/>
      <c r="E236" s="47"/>
      <c r="F236" s="44"/>
      <c r="G236" s="47"/>
      <c r="H236" s="48"/>
    </row>
    <row r="237" spans="1:8" x14ac:dyDescent="0.3">
      <c r="A237" s="45"/>
      <c r="B237" s="46"/>
      <c r="C237" s="46"/>
      <c r="D237" s="47"/>
      <c r="E237" s="47"/>
      <c r="F237" s="44"/>
      <c r="G237" s="47"/>
      <c r="H237" s="48"/>
    </row>
    <row r="238" spans="1:8" x14ac:dyDescent="0.3">
      <c r="A238" s="45"/>
      <c r="B238" s="46"/>
      <c r="C238" s="46"/>
      <c r="D238" s="47"/>
      <c r="E238" s="47"/>
      <c r="F238" s="44"/>
      <c r="G238" s="47"/>
      <c r="H238" s="48"/>
    </row>
    <row r="239" spans="1:8" x14ac:dyDescent="0.3">
      <c r="A239" s="45"/>
      <c r="B239" s="46"/>
      <c r="C239" s="46"/>
      <c r="D239" s="47"/>
      <c r="E239" s="47"/>
      <c r="F239" s="44"/>
      <c r="G239" s="47"/>
      <c r="H239" s="48"/>
    </row>
    <row r="240" spans="1:8" x14ac:dyDescent="0.3">
      <c r="A240" s="45"/>
      <c r="B240" s="46"/>
      <c r="C240" s="46"/>
      <c r="D240" s="47"/>
      <c r="E240" s="47"/>
      <c r="F240" s="44"/>
      <c r="G240" s="47"/>
      <c r="H240" s="48"/>
    </row>
    <row r="241" spans="1:8" x14ac:dyDescent="0.3">
      <c r="A241" s="45"/>
      <c r="B241" s="46"/>
      <c r="C241" s="46"/>
      <c r="D241" s="47"/>
      <c r="E241" s="47"/>
      <c r="F241" s="44"/>
      <c r="G241" s="47"/>
      <c r="H241" s="48"/>
    </row>
    <row r="242" spans="1:8" x14ac:dyDescent="0.3">
      <c r="A242" s="45"/>
      <c r="B242" s="46"/>
      <c r="C242" s="46"/>
      <c r="D242" s="47"/>
      <c r="E242" s="47"/>
      <c r="F242" s="44"/>
      <c r="G242" s="47"/>
      <c r="H242" s="48"/>
    </row>
    <row r="243" spans="1:8" x14ac:dyDescent="0.3">
      <c r="A243" s="45"/>
      <c r="B243" s="46"/>
      <c r="C243" s="46"/>
      <c r="D243" s="47"/>
      <c r="E243" s="47"/>
      <c r="F243" s="44"/>
      <c r="G243" s="47"/>
      <c r="H243" s="48"/>
    </row>
    <row r="244" spans="1:8" x14ac:dyDescent="0.3">
      <c r="A244" s="45"/>
      <c r="B244" s="46"/>
      <c r="C244" s="46"/>
      <c r="D244" s="47"/>
      <c r="E244" s="47"/>
      <c r="F244" s="44"/>
      <c r="G244" s="47"/>
      <c r="H244" s="48"/>
    </row>
    <row r="245" spans="1:8" x14ac:dyDescent="0.3">
      <c r="A245" s="45"/>
      <c r="B245" s="46"/>
      <c r="C245" s="46"/>
      <c r="D245" s="47"/>
      <c r="E245" s="47"/>
      <c r="F245" s="44"/>
      <c r="G245" s="47"/>
      <c r="H245" s="48"/>
    </row>
    <row r="246" spans="1:8" x14ac:dyDescent="0.3">
      <c r="A246" s="45"/>
      <c r="B246" s="46"/>
      <c r="C246" s="46"/>
      <c r="D246" s="47"/>
      <c r="E246" s="47"/>
      <c r="F246" s="44"/>
      <c r="G246" s="47"/>
      <c r="H246" s="48"/>
    </row>
    <row r="247" spans="1:8" x14ac:dyDescent="0.3">
      <c r="A247" s="45"/>
      <c r="B247" s="46"/>
      <c r="C247" s="46"/>
      <c r="D247" s="47"/>
      <c r="E247" s="47"/>
      <c r="F247" s="44"/>
      <c r="G247" s="47"/>
      <c r="H247" s="48"/>
    </row>
    <row r="248" spans="1:8" x14ac:dyDescent="0.3">
      <c r="A248" s="45"/>
      <c r="B248" s="46"/>
      <c r="C248" s="46"/>
      <c r="D248" s="47"/>
      <c r="E248" s="47"/>
      <c r="F248" s="44"/>
      <c r="G248" s="47"/>
      <c r="H248" s="48"/>
    </row>
    <row r="249" spans="1:8" x14ac:dyDescent="0.3">
      <c r="A249" s="45"/>
      <c r="B249" s="46"/>
      <c r="C249" s="46"/>
      <c r="D249" s="47"/>
      <c r="E249" s="47"/>
      <c r="F249" s="44"/>
      <c r="G249" s="47"/>
      <c r="H249" s="48"/>
    </row>
    <row r="250" spans="1:8" x14ac:dyDescent="0.3">
      <c r="A250" s="45"/>
      <c r="B250" s="46"/>
      <c r="C250" s="46"/>
      <c r="D250" s="47"/>
      <c r="E250" s="47"/>
      <c r="F250" s="44"/>
      <c r="G250" s="47"/>
      <c r="H250" s="48"/>
    </row>
    <row r="251" spans="1:8" x14ac:dyDescent="0.3">
      <c r="A251" s="45"/>
      <c r="B251" s="46"/>
      <c r="C251" s="46"/>
      <c r="D251" s="47"/>
      <c r="E251" s="47"/>
      <c r="F251" s="44"/>
      <c r="G251" s="47"/>
      <c r="H251" s="48"/>
    </row>
    <row r="252" spans="1:8" x14ac:dyDescent="0.3">
      <c r="A252" s="45"/>
      <c r="B252" s="46"/>
      <c r="C252" s="46"/>
      <c r="D252" s="47"/>
      <c r="E252" s="47"/>
      <c r="F252" s="44"/>
      <c r="G252" s="47"/>
      <c r="H252" s="48"/>
    </row>
    <row r="253" spans="1:8" x14ac:dyDescent="0.3">
      <c r="A253" s="45"/>
      <c r="B253" s="46"/>
      <c r="C253" s="46"/>
      <c r="D253" s="47"/>
      <c r="E253" s="47"/>
      <c r="F253" s="44"/>
      <c r="G253" s="47"/>
      <c r="H253" s="48"/>
    </row>
    <row r="254" spans="1:8" x14ac:dyDescent="0.3">
      <c r="A254" s="45"/>
      <c r="B254" s="46"/>
      <c r="C254" s="46"/>
      <c r="D254" s="47"/>
      <c r="E254" s="47"/>
      <c r="F254" s="44"/>
      <c r="G254" s="47"/>
      <c r="H254" s="48"/>
    </row>
    <row r="255" spans="1:8" x14ac:dyDescent="0.3">
      <c r="A255" s="45"/>
      <c r="B255" s="46"/>
      <c r="C255" s="46"/>
      <c r="D255" s="47"/>
      <c r="E255" s="47"/>
      <c r="F255" s="44"/>
      <c r="G255" s="47"/>
      <c r="H255" s="48"/>
    </row>
    <row r="256" spans="1:8" x14ac:dyDescent="0.3">
      <c r="A256" s="45"/>
      <c r="B256" s="46"/>
      <c r="C256" s="46"/>
      <c r="D256" s="47"/>
      <c r="E256" s="47"/>
      <c r="F256" s="44"/>
      <c r="G256" s="47"/>
      <c r="H256" s="48"/>
    </row>
    <row r="257" spans="1:8" x14ac:dyDescent="0.3">
      <c r="A257" s="45"/>
      <c r="B257" s="46"/>
      <c r="C257" s="46"/>
      <c r="D257" s="47"/>
      <c r="E257" s="47"/>
      <c r="F257" s="44"/>
      <c r="G257" s="47"/>
      <c r="H257" s="48"/>
    </row>
    <row r="258" spans="1:8" x14ac:dyDescent="0.3">
      <c r="A258" s="45"/>
      <c r="B258" s="46"/>
      <c r="C258" s="46"/>
      <c r="D258" s="47"/>
      <c r="E258" s="47"/>
      <c r="F258" s="44"/>
      <c r="G258" s="47"/>
      <c r="H258" s="48"/>
    </row>
    <row r="259" spans="1:8" x14ac:dyDescent="0.3">
      <c r="A259" s="45"/>
      <c r="B259" s="46"/>
      <c r="C259" s="46"/>
      <c r="D259" s="47"/>
      <c r="E259" s="47"/>
      <c r="F259" s="44"/>
      <c r="G259" s="47"/>
      <c r="H259" s="48"/>
    </row>
    <row r="260" spans="1:8" x14ac:dyDescent="0.3">
      <c r="A260" s="45"/>
      <c r="B260" s="46"/>
      <c r="C260" s="46"/>
      <c r="D260" s="47"/>
      <c r="E260" s="47"/>
      <c r="F260" s="44"/>
      <c r="G260" s="47"/>
      <c r="H260" s="48"/>
    </row>
    <row r="261" spans="1:8" x14ac:dyDescent="0.3">
      <c r="A261" s="45"/>
      <c r="B261" s="46"/>
      <c r="C261" s="46"/>
      <c r="D261" s="47"/>
      <c r="E261" s="47"/>
      <c r="F261" s="44"/>
      <c r="G261" s="47"/>
      <c r="H261" s="48"/>
    </row>
    <row r="262" spans="1:8" x14ac:dyDescent="0.3">
      <c r="A262" s="45"/>
      <c r="B262" s="46"/>
      <c r="C262" s="46"/>
      <c r="D262" s="47"/>
      <c r="E262" s="47"/>
      <c r="F262" s="44"/>
      <c r="G262" s="47"/>
      <c r="H262" s="48"/>
    </row>
    <row r="263" spans="1:8" x14ac:dyDescent="0.3">
      <c r="A263" s="45"/>
      <c r="B263" s="46"/>
      <c r="C263" s="46"/>
      <c r="D263" s="47"/>
      <c r="E263" s="47"/>
      <c r="F263" s="44"/>
      <c r="G263" s="47"/>
      <c r="H263" s="48"/>
    </row>
    <row r="264" spans="1:8" x14ac:dyDescent="0.3">
      <c r="A264" s="45"/>
      <c r="B264" s="46"/>
      <c r="C264" s="46"/>
      <c r="D264" s="47"/>
      <c r="E264" s="47"/>
      <c r="F264" s="44"/>
      <c r="G264" s="47"/>
      <c r="H264" s="48"/>
    </row>
    <row r="265" spans="1:8" x14ac:dyDescent="0.3">
      <c r="A265" s="45"/>
      <c r="B265" s="46"/>
      <c r="C265" s="46"/>
      <c r="D265" s="47"/>
      <c r="E265" s="47"/>
      <c r="F265" s="44"/>
      <c r="G265" s="47"/>
      <c r="H265" s="48"/>
    </row>
    <row r="266" spans="1:8" x14ac:dyDescent="0.3">
      <c r="A266" s="45"/>
      <c r="B266" s="46"/>
      <c r="C266" s="46"/>
      <c r="D266" s="47"/>
      <c r="E266" s="47"/>
      <c r="F266" s="44"/>
      <c r="G266" s="47"/>
      <c r="H266" s="48"/>
    </row>
    <row r="267" spans="1:8" x14ac:dyDescent="0.3">
      <c r="A267" s="45"/>
      <c r="B267" s="46"/>
      <c r="C267" s="46"/>
      <c r="D267" s="47"/>
      <c r="E267" s="47"/>
      <c r="F267" s="44"/>
      <c r="G267" s="47"/>
      <c r="H267" s="48"/>
    </row>
    <row r="268" spans="1:8" x14ac:dyDescent="0.3">
      <c r="A268" s="45"/>
      <c r="B268" s="46"/>
      <c r="C268" s="46"/>
      <c r="D268" s="47"/>
      <c r="E268" s="47"/>
      <c r="F268" s="44"/>
      <c r="G268" s="47"/>
      <c r="H268" s="48"/>
    </row>
    <row r="269" spans="1:8" x14ac:dyDescent="0.3">
      <c r="A269" s="45"/>
      <c r="B269" s="46"/>
      <c r="C269" s="46"/>
      <c r="D269" s="47"/>
      <c r="E269" s="47"/>
      <c r="F269" s="44"/>
      <c r="G269" s="47"/>
      <c r="H269" s="48"/>
    </row>
    <row r="270" spans="1:8" x14ac:dyDescent="0.3">
      <c r="A270" s="45"/>
      <c r="B270" s="46"/>
      <c r="C270" s="46"/>
      <c r="D270" s="47"/>
      <c r="E270" s="47"/>
      <c r="F270" s="44"/>
      <c r="G270" s="47"/>
      <c r="H270" s="48"/>
    </row>
    <row r="271" spans="1:8" x14ac:dyDescent="0.3">
      <c r="A271" s="45"/>
      <c r="B271" s="46"/>
      <c r="C271" s="46"/>
      <c r="D271" s="47"/>
      <c r="E271" s="47"/>
      <c r="F271" s="44"/>
      <c r="G271" s="47"/>
      <c r="H271" s="48"/>
    </row>
    <row r="272" spans="1:8" x14ac:dyDescent="0.3">
      <c r="A272" s="45"/>
      <c r="B272" s="46"/>
      <c r="C272" s="46"/>
      <c r="D272" s="47"/>
      <c r="E272" s="47"/>
      <c r="F272" s="44"/>
      <c r="G272" s="47"/>
      <c r="H272" s="48"/>
    </row>
    <row r="273" spans="1:8" x14ac:dyDescent="0.3">
      <c r="A273" s="45"/>
      <c r="B273" s="46"/>
      <c r="C273" s="46"/>
      <c r="D273" s="47"/>
      <c r="E273" s="47"/>
      <c r="F273" s="44"/>
      <c r="G273" s="47"/>
      <c r="H273" s="48"/>
    </row>
    <row r="274" spans="1:8" x14ac:dyDescent="0.3">
      <c r="A274" s="45"/>
      <c r="B274" s="46"/>
      <c r="C274" s="46"/>
      <c r="D274" s="47"/>
      <c r="E274" s="47"/>
      <c r="F274" s="44"/>
      <c r="G274" s="47"/>
      <c r="H274" s="48"/>
    </row>
    <row r="275" spans="1:8" x14ac:dyDescent="0.3">
      <c r="A275" s="45"/>
      <c r="B275" s="46"/>
      <c r="C275" s="46"/>
      <c r="D275" s="47"/>
      <c r="E275" s="47"/>
      <c r="F275" s="44"/>
      <c r="G275" s="47"/>
      <c r="H275" s="48"/>
    </row>
    <row r="276" spans="1:8" x14ac:dyDescent="0.3">
      <c r="A276" s="45"/>
      <c r="B276" s="46"/>
      <c r="C276" s="46"/>
      <c r="D276" s="47"/>
      <c r="E276" s="47"/>
      <c r="F276" s="44"/>
      <c r="G276" s="47"/>
      <c r="H276" s="48"/>
    </row>
    <row r="277" spans="1:8" x14ac:dyDescent="0.3">
      <c r="A277" s="45"/>
      <c r="B277" s="46"/>
      <c r="C277" s="46"/>
      <c r="D277" s="47"/>
      <c r="E277" s="47"/>
      <c r="F277" s="44"/>
      <c r="G277" s="47"/>
      <c r="H277" s="48"/>
    </row>
    <row r="278" spans="1:8" x14ac:dyDescent="0.3">
      <c r="A278" s="45"/>
      <c r="B278" s="46"/>
      <c r="C278" s="46"/>
      <c r="D278" s="47"/>
      <c r="E278" s="47"/>
      <c r="F278" s="44"/>
      <c r="G278" s="47"/>
      <c r="H278" s="48"/>
    </row>
    <row r="279" spans="1:8" x14ac:dyDescent="0.3">
      <c r="A279" s="45"/>
      <c r="B279" s="46"/>
      <c r="C279" s="46"/>
      <c r="D279" s="47"/>
      <c r="E279" s="47"/>
      <c r="F279" s="44"/>
      <c r="G279" s="47"/>
      <c r="H279" s="48"/>
    </row>
    <row r="280" spans="1:8" x14ac:dyDescent="0.3">
      <c r="A280" s="45"/>
      <c r="B280" s="46"/>
      <c r="C280" s="46"/>
      <c r="D280" s="47"/>
      <c r="E280" s="47"/>
      <c r="F280" s="44"/>
      <c r="G280" s="47"/>
      <c r="H280" s="48"/>
    </row>
    <row r="281" spans="1:8" x14ac:dyDescent="0.3">
      <c r="A281" s="45"/>
      <c r="B281" s="46"/>
      <c r="C281" s="46"/>
      <c r="D281" s="47"/>
      <c r="E281" s="47"/>
      <c r="F281" s="44"/>
      <c r="G281" s="47"/>
      <c r="H281" s="48"/>
    </row>
    <row r="282" spans="1:8" x14ac:dyDescent="0.3">
      <c r="A282" s="45"/>
      <c r="B282" s="46"/>
      <c r="C282" s="46"/>
      <c r="D282" s="47"/>
      <c r="E282" s="47"/>
      <c r="F282" s="44"/>
      <c r="G282" s="47"/>
      <c r="H282" s="48"/>
    </row>
    <row r="283" spans="1:8" x14ac:dyDescent="0.3">
      <c r="A283" s="45"/>
      <c r="B283" s="46"/>
      <c r="C283" s="46"/>
      <c r="D283" s="47"/>
      <c r="E283" s="47"/>
      <c r="F283" s="44"/>
      <c r="G283" s="47"/>
      <c r="H283" s="48"/>
    </row>
    <row r="284" spans="1:8" x14ac:dyDescent="0.3">
      <c r="A284" s="45"/>
      <c r="B284" s="46"/>
      <c r="C284" s="46"/>
      <c r="D284" s="47"/>
      <c r="E284" s="47"/>
      <c r="F284" s="44"/>
      <c r="G284" s="47"/>
      <c r="H284" s="48"/>
    </row>
    <row r="285" spans="1:8" x14ac:dyDescent="0.3">
      <c r="A285" s="45"/>
      <c r="B285" s="46"/>
      <c r="C285" s="46"/>
      <c r="D285" s="47"/>
      <c r="E285" s="47"/>
      <c r="F285" s="44"/>
      <c r="G285" s="47"/>
      <c r="H285" s="48"/>
    </row>
    <row r="286" spans="1:8" x14ac:dyDescent="0.3">
      <c r="A286" s="45"/>
      <c r="B286" s="46"/>
      <c r="C286" s="46"/>
      <c r="D286" s="47"/>
      <c r="E286" s="47"/>
      <c r="F286" s="44"/>
      <c r="G286" s="47"/>
      <c r="H286" s="48"/>
    </row>
    <row r="287" spans="1:8" x14ac:dyDescent="0.3">
      <c r="A287" s="45"/>
      <c r="B287" s="46"/>
      <c r="C287" s="46"/>
      <c r="D287" s="47"/>
      <c r="E287" s="47"/>
      <c r="F287" s="44"/>
      <c r="G287" s="47"/>
      <c r="H287" s="48"/>
    </row>
    <row r="288" spans="1:8" x14ac:dyDescent="0.3">
      <c r="A288" s="45"/>
      <c r="B288" s="46"/>
      <c r="C288" s="46"/>
      <c r="D288" s="47"/>
      <c r="E288" s="47"/>
      <c r="F288" s="44"/>
      <c r="G288" s="47"/>
      <c r="H288" s="48"/>
    </row>
    <row r="289" spans="1:8" x14ac:dyDescent="0.3">
      <c r="A289" s="45"/>
      <c r="B289" s="46"/>
      <c r="C289" s="46"/>
      <c r="D289" s="47"/>
      <c r="E289" s="47"/>
      <c r="F289" s="44"/>
      <c r="G289" s="47"/>
      <c r="H289" s="48"/>
    </row>
    <row r="290" spans="1:8" x14ac:dyDescent="0.3">
      <c r="A290" s="45"/>
      <c r="B290" s="46"/>
      <c r="C290" s="46"/>
      <c r="D290" s="47"/>
      <c r="E290" s="47"/>
      <c r="F290" s="44"/>
      <c r="G290" s="47"/>
      <c r="H290" s="48"/>
    </row>
    <row r="291" spans="1:8" x14ac:dyDescent="0.3">
      <c r="A291" s="45"/>
      <c r="B291" s="46"/>
      <c r="C291" s="46"/>
      <c r="D291" s="47"/>
      <c r="E291" s="47"/>
      <c r="F291" s="44"/>
      <c r="G291" s="47"/>
      <c r="H291" s="48"/>
    </row>
    <row r="292" spans="1:8" x14ac:dyDescent="0.3">
      <c r="A292" s="45"/>
      <c r="B292" s="46"/>
      <c r="C292" s="46"/>
      <c r="D292" s="47"/>
      <c r="E292" s="47"/>
      <c r="F292" s="44"/>
      <c r="G292" s="47"/>
      <c r="H292" s="48"/>
    </row>
    <row r="293" spans="1:8" x14ac:dyDescent="0.3">
      <c r="A293" s="45"/>
      <c r="B293" s="46"/>
      <c r="C293" s="46"/>
      <c r="D293" s="47"/>
      <c r="E293" s="47"/>
      <c r="F293" s="44"/>
      <c r="G293" s="47"/>
      <c r="H293" s="48"/>
    </row>
    <row r="294" spans="1:8" x14ac:dyDescent="0.3">
      <c r="A294" s="45"/>
      <c r="B294" s="46"/>
      <c r="C294" s="46"/>
      <c r="D294" s="47"/>
      <c r="E294" s="47"/>
      <c r="F294" s="44"/>
      <c r="G294" s="47"/>
      <c r="H294" s="48"/>
    </row>
    <row r="295" spans="1:8" x14ac:dyDescent="0.3">
      <c r="A295" s="45"/>
      <c r="B295" s="46"/>
      <c r="C295" s="46"/>
      <c r="D295" s="47"/>
      <c r="E295" s="47"/>
      <c r="F295" s="44"/>
      <c r="G295" s="47"/>
      <c r="H295" s="48"/>
    </row>
    <row r="296" spans="1:8" x14ac:dyDescent="0.3">
      <c r="A296" s="45"/>
      <c r="B296" s="46"/>
      <c r="C296" s="46"/>
      <c r="D296" s="47"/>
      <c r="E296" s="47"/>
      <c r="F296" s="44"/>
      <c r="G296" s="47"/>
      <c r="H296" s="48"/>
    </row>
    <row r="297" spans="1:8" x14ac:dyDescent="0.3">
      <c r="A297" s="45"/>
      <c r="B297" s="46"/>
      <c r="C297" s="46"/>
      <c r="D297" s="47"/>
      <c r="E297" s="47"/>
      <c r="F297" s="44"/>
      <c r="G297" s="47"/>
      <c r="H297" s="48"/>
    </row>
    <row r="298" spans="1:8" x14ac:dyDescent="0.3">
      <c r="A298" s="45"/>
      <c r="B298" s="46"/>
      <c r="C298" s="46"/>
      <c r="D298" s="47"/>
      <c r="E298" s="47"/>
      <c r="F298" s="44"/>
      <c r="G298" s="47"/>
      <c r="H298" s="48"/>
    </row>
    <row r="299" spans="1:8" x14ac:dyDescent="0.3">
      <c r="A299" s="45"/>
      <c r="B299" s="46"/>
      <c r="C299" s="46"/>
      <c r="D299" s="47"/>
      <c r="E299" s="47"/>
      <c r="F299" s="44"/>
      <c r="G299" s="47"/>
      <c r="H299" s="48"/>
    </row>
    <row r="300" spans="1:8" x14ac:dyDescent="0.3">
      <c r="A300" s="45"/>
      <c r="B300" s="46"/>
      <c r="C300" s="46"/>
      <c r="D300" s="47"/>
      <c r="E300" s="47"/>
      <c r="F300" s="44"/>
      <c r="G300" s="47"/>
      <c r="H300" s="48"/>
    </row>
    <row r="301" spans="1:8" x14ac:dyDescent="0.3">
      <c r="A301" s="45"/>
      <c r="B301" s="46"/>
      <c r="C301" s="46"/>
      <c r="D301" s="47"/>
      <c r="E301" s="47"/>
      <c r="F301" s="44"/>
      <c r="G301" s="47"/>
      <c r="H301" s="48"/>
    </row>
    <row r="302" spans="1:8" x14ac:dyDescent="0.3">
      <c r="A302" s="45"/>
      <c r="B302" s="46"/>
      <c r="C302" s="46"/>
      <c r="D302" s="47"/>
      <c r="E302" s="47"/>
      <c r="F302" s="44"/>
      <c r="G302" s="47"/>
      <c r="H302" s="48"/>
    </row>
    <row r="303" spans="1:8" x14ac:dyDescent="0.3">
      <c r="A303" s="45"/>
      <c r="B303" s="46"/>
      <c r="C303" s="46"/>
      <c r="D303" s="47"/>
      <c r="E303" s="47"/>
      <c r="F303" s="44"/>
      <c r="G303" s="47"/>
      <c r="H303" s="48"/>
    </row>
    <row r="304" spans="1:8" x14ac:dyDescent="0.3">
      <c r="A304" s="45"/>
      <c r="B304" s="46"/>
      <c r="C304" s="46"/>
      <c r="D304" s="47"/>
      <c r="E304" s="47"/>
      <c r="F304" s="44"/>
      <c r="G304" s="47"/>
      <c r="H304" s="48"/>
    </row>
    <row r="305" spans="1:8" x14ac:dyDescent="0.3">
      <c r="A305" s="45"/>
      <c r="B305" s="46"/>
      <c r="C305" s="46"/>
      <c r="D305" s="47"/>
      <c r="E305" s="47"/>
      <c r="F305" s="44"/>
      <c r="G305" s="47"/>
      <c r="H305" s="48"/>
    </row>
    <row r="306" spans="1:8" x14ac:dyDescent="0.3">
      <c r="A306" s="45"/>
      <c r="B306" s="46"/>
      <c r="C306" s="46"/>
      <c r="D306" s="47"/>
      <c r="E306" s="47"/>
      <c r="F306" s="44"/>
      <c r="G306" s="47"/>
      <c r="H306" s="48"/>
    </row>
    <row r="307" spans="1:8" x14ac:dyDescent="0.3">
      <c r="A307" s="45"/>
      <c r="B307" s="46"/>
      <c r="C307" s="46"/>
      <c r="D307" s="47"/>
      <c r="E307" s="47"/>
      <c r="F307" s="44"/>
      <c r="G307" s="47"/>
      <c r="H307" s="48"/>
    </row>
    <row r="308" spans="1:8" x14ac:dyDescent="0.3">
      <c r="A308" s="45"/>
      <c r="B308" s="46"/>
      <c r="C308" s="46"/>
      <c r="D308" s="47"/>
      <c r="E308" s="47"/>
      <c r="F308" s="44"/>
      <c r="G308" s="47"/>
      <c r="H308" s="48"/>
    </row>
    <row r="309" spans="1:8" x14ac:dyDescent="0.3">
      <c r="A309" s="45"/>
      <c r="B309" s="46"/>
      <c r="C309" s="46"/>
      <c r="D309" s="47"/>
      <c r="E309" s="47"/>
      <c r="F309" s="44"/>
      <c r="G309" s="47"/>
      <c r="H309" s="48"/>
    </row>
    <row r="310" spans="1:8" x14ac:dyDescent="0.3">
      <c r="A310" s="45"/>
      <c r="B310" s="46"/>
      <c r="C310" s="46"/>
      <c r="D310" s="47"/>
      <c r="E310" s="47"/>
      <c r="F310" s="44"/>
      <c r="G310" s="47"/>
      <c r="H310" s="48"/>
    </row>
    <row r="311" spans="1:8" x14ac:dyDescent="0.3">
      <c r="A311" s="45"/>
      <c r="B311" s="46"/>
      <c r="C311" s="46"/>
      <c r="D311" s="47"/>
      <c r="E311" s="47"/>
      <c r="F311" s="44"/>
      <c r="G311" s="47"/>
      <c r="H311" s="48"/>
    </row>
    <row r="312" spans="1:8" x14ac:dyDescent="0.3">
      <c r="A312" s="45"/>
      <c r="B312" s="46"/>
      <c r="C312" s="46"/>
      <c r="D312" s="47"/>
      <c r="E312" s="47"/>
      <c r="F312" s="44"/>
      <c r="G312" s="47"/>
      <c r="H312" s="48"/>
    </row>
    <row r="313" spans="1:8" x14ac:dyDescent="0.3">
      <c r="A313" s="45"/>
      <c r="B313" s="46"/>
      <c r="C313" s="46"/>
      <c r="D313" s="47"/>
      <c r="E313" s="47"/>
      <c r="F313" s="44"/>
      <c r="G313" s="47"/>
      <c r="H313" s="48"/>
    </row>
    <row r="314" spans="1:8" x14ac:dyDescent="0.3">
      <c r="A314" s="45"/>
      <c r="B314" s="46"/>
      <c r="C314" s="46"/>
      <c r="D314" s="47"/>
      <c r="E314" s="47"/>
      <c r="F314" s="44"/>
      <c r="G314" s="47"/>
      <c r="H314" s="48"/>
    </row>
    <row r="315" spans="1:8" x14ac:dyDescent="0.3">
      <c r="A315" s="45"/>
      <c r="B315" s="46"/>
      <c r="C315" s="46"/>
      <c r="D315" s="47"/>
      <c r="E315" s="47"/>
      <c r="F315" s="44"/>
      <c r="G315" s="47"/>
      <c r="H315" s="48"/>
    </row>
    <row r="316" spans="1:8" x14ac:dyDescent="0.3">
      <c r="A316" s="45"/>
      <c r="B316" s="46"/>
      <c r="C316" s="46"/>
      <c r="D316" s="47"/>
      <c r="E316" s="47"/>
      <c r="F316" s="44"/>
      <c r="G316" s="47"/>
      <c r="H316" s="48"/>
    </row>
    <row r="317" spans="1:8" x14ac:dyDescent="0.3">
      <c r="A317" s="45"/>
      <c r="B317" s="46"/>
      <c r="C317" s="46"/>
      <c r="D317" s="47"/>
      <c r="E317" s="47"/>
      <c r="F317" s="44"/>
      <c r="G317" s="47"/>
      <c r="H317" s="48"/>
    </row>
    <row r="318" spans="1:8" x14ac:dyDescent="0.3">
      <c r="A318" s="45"/>
      <c r="B318" s="46"/>
      <c r="C318" s="46"/>
      <c r="D318" s="47"/>
      <c r="E318" s="47"/>
      <c r="F318" s="44"/>
      <c r="G318" s="47"/>
      <c r="H318" s="48"/>
    </row>
    <row r="319" spans="1:8" x14ac:dyDescent="0.3">
      <c r="A319" s="45"/>
      <c r="B319" s="46"/>
      <c r="C319" s="46"/>
      <c r="D319" s="47"/>
      <c r="E319" s="47"/>
      <c r="F319" s="44"/>
      <c r="G319" s="47"/>
      <c r="H319" s="48"/>
    </row>
    <row r="320" spans="1:8" x14ac:dyDescent="0.3">
      <c r="A320" s="45"/>
      <c r="B320" s="46"/>
      <c r="C320" s="46"/>
      <c r="D320" s="47"/>
      <c r="E320" s="47"/>
      <c r="F320" s="44"/>
      <c r="G320" s="47"/>
      <c r="H320" s="48"/>
    </row>
    <row r="321" spans="1:8" x14ac:dyDescent="0.3">
      <c r="A321" s="45"/>
      <c r="B321" s="46"/>
      <c r="C321" s="46"/>
      <c r="D321" s="47"/>
      <c r="E321" s="47"/>
      <c r="F321" s="44"/>
      <c r="G321" s="47"/>
      <c r="H321" s="48"/>
    </row>
    <row r="322" spans="1:8" x14ac:dyDescent="0.3">
      <c r="A322" s="45"/>
      <c r="B322" s="46"/>
      <c r="C322" s="46"/>
      <c r="D322" s="47"/>
      <c r="E322" s="47"/>
      <c r="F322" s="44"/>
      <c r="G322" s="47"/>
      <c r="H322" s="48"/>
    </row>
    <row r="323" spans="1:8" x14ac:dyDescent="0.3">
      <c r="A323" s="45"/>
      <c r="B323" s="46"/>
      <c r="C323" s="46"/>
      <c r="D323" s="47"/>
      <c r="E323" s="47"/>
      <c r="F323" s="44"/>
      <c r="G323" s="47"/>
      <c r="H323" s="48"/>
    </row>
    <row r="324" spans="1:8" x14ac:dyDescent="0.3">
      <c r="A324" s="45"/>
      <c r="B324" s="46"/>
      <c r="C324" s="46"/>
      <c r="D324" s="47"/>
      <c r="E324" s="47"/>
      <c r="F324" s="44"/>
      <c r="G324" s="47"/>
      <c r="H324" s="48"/>
    </row>
    <row r="325" spans="1:8" x14ac:dyDescent="0.3">
      <c r="A325" s="45"/>
      <c r="B325" s="46"/>
      <c r="C325" s="46"/>
      <c r="D325" s="47"/>
      <c r="E325" s="47"/>
      <c r="F325" s="44"/>
      <c r="G325" s="47"/>
      <c r="H325" s="48"/>
    </row>
    <row r="326" spans="1:8" x14ac:dyDescent="0.3">
      <c r="A326" s="45"/>
      <c r="B326" s="46"/>
      <c r="C326" s="46"/>
      <c r="D326" s="47"/>
      <c r="E326" s="47"/>
      <c r="F326" s="44"/>
      <c r="G326" s="47"/>
      <c r="H326" s="48"/>
    </row>
    <row r="327" spans="1:8" x14ac:dyDescent="0.3">
      <c r="A327" s="45"/>
      <c r="B327" s="46"/>
      <c r="C327" s="46"/>
      <c r="D327" s="47"/>
      <c r="E327" s="47"/>
      <c r="F327" s="44"/>
      <c r="G327" s="47"/>
      <c r="H327" s="48"/>
    </row>
    <row r="328" spans="1:8" x14ac:dyDescent="0.3">
      <c r="A328" s="45"/>
      <c r="B328" s="46"/>
      <c r="C328" s="46"/>
      <c r="D328" s="47"/>
      <c r="E328" s="47"/>
      <c r="F328" s="44"/>
      <c r="G328" s="47"/>
      <c r="H328" s="48"/>
    </row>
    <row r="329" spans="1:8" x14ac:dyDescent="0.3">
      <c r="A329" s="45"/>
      <c r="B329" s="46"/>
      <c r="C329" s="46"/>
      <c r="D329" s="47"/>
      <c r="E329" s="47"/>
      <c r="F329" s="44"/>
      <c r="G329" s="47"/>
      <c r="H329" s="48"/>
    </row>
    <row r="330" spans="1:8" x14ac:dyDescent="0.3">
      <c r="A330" s="45"/>
      <c r="B330" s="46"/>
      <c r="C330" s="46"/>
      <c r="D330" s="47"/>
      <c r="E330" s="47"/>
      <c r="F330" s="44"/>
      <c r="G330" s="47"/>
      <c r="H330" s="48"/>
    </row>
    <row r="331" spans="1:8" x14ac:dyDescent="0.3">
      <c r="A331" s="45"/>
      <c r="B331" s="46"/>
      <c r="C331" s="46"/>
      <c r="D331" s="47"/>
      <c r="E331" s="47"/>
      <c r="F331" s="44"/>
      <c r="G331" s="47"/>
      <c r="H331" s="48"/>
    </row>
    <row r="332" spans="1:8" x14ac:dyDescent="0.3">
      <c r="A332" s="45"/>
      <c r="B332" s="46"/>
      <c r="C332" s="46"/>
      <c r="D332" s="47"/>
      <c r="E332" s="47"/>
      <c r="F332" s="44"/>
      <c r="G332" s="47"/>
      <c r="H332" s="48"/>
    </row>
    <row r="333" spans="1:8" x14ac:dyDescent="0.3">
      <c r="A333" s="45"/>
      <c r="B333" s="46"/>
      <c r="C333" s="46"/>
      <c r="D333" s="47"/>
      <c r="E333" s="47"/>
      <c r="F333" s="44"/>
      <c r="G333" s="47"/>
      <c r="H333" s="48"/>
    </row>
    <row r="334" spans="1:8" x14ac:dyDescent="0.3">
      <c r="A334" s="45"/>
      <c r="B334" s="46"/>
      <c r="C334" s="46"/>
      <c r="D334" s="47"/>
      <c r="E334" s="47"/>
      <c r="F334" s="44"/>
      <c r="G334" s="47"/>
      <c r="H334" s="48"/>
    </row>
    <row r="335" spans="1:8" x14ac:dyDescent="0.3">
      <c r="A335" s="45"/>
      <c r="B335" s="46"/>
      <c r="C335" s="46"/>
      <c r="D335" s="47"/>
      <c r="E335" s="47"/>
      <c r="F335" s="44"/>
      <c r="G335" s="47"/>
      <c r="H335" s="48"/>
    </row>
    <row r="336" spans="1:8" x14ac:dyDescent="0.3">
      <c r="A336" s="45"/>
      <c r="B336" s="46"/>
      <c r="C336" s="46"/>
      <c r="D336" s="47"/>
      <c r="E336" s="47"/>
      <c r="F336" s="44"/>
      <c r="G336" s="47"/>
      <c r="H336" s="48"/>
    </row>
    <row r="337" spans="1:8" x14ac:dyDescent="0.3">
      <c r="A337" s="45"/>
      <c r="B337" s="46"/>
      <c r="C337" s="46"/>
      <c r="D337" s="47"/>
      <c r="E337" s="47"/>
      <c r="F337" s="44"/>
      <c r="G337" s="47"/>
      <c r="H337" s="48"/>
    </row>
    <row r="338" spans="1:8" x14ac:dyDescent="0.3">
      <c r="A338" s="45"/>
      <c r="B338" s="46"/>
      <c r="C338" s="46"/>
      <c r="D338" s="47"/>
      <c r="E338" s="47"/>
      <c r="F338" s="44"/>
      <c r="G338" s="47"/>
      <c r="H338" s="48"/>
    </row>
    <row r="339" spans="1:8" x14ac:dyDescent="0.3">
      <c r="A339" s="45"/>
      <c r="B339" s="46"/>
      <c r="C339" s="46"/>
      <c r="D339" s="47"/>
      <c r="E339" s="47"/>
      <c r="F339" s="44"/>
      <c r="G339" s="47"/>
      <c r="H339" s="48"/>
    </row>
    <row r="340" spans="1:8" x14ac:dyDescent="0.3">
      <c r="A340" s="45"/>
      <c r="B340" s="46"/>
      <c r="C340" s="46"/>
      <c r="D340" s="47"/>
      <c r="E340" s="47"/>
      <c r="F340" s="44"/>
      <c r="G340" s="47"/>
      <c r="H340" s="48"/>
    </row>
    <row r="341" spans="1:8" x14ac:dyDescent="0.3">
      <c r="A341" s="45"/>
      <c r="B341" s="46"/>
      <c r="C341" s="46"/>
      <c r="D341" s="47"/>
      <c r="E341" s="47"/>
      <c r="F341" s="44"/>
      <c r="G341" s="47"/>
      <c r="H341" s="48"/>
    </row>
    <row r="342" spans="1:8" x14ac:dyDescent="0.3">
      <c r="A342" s="45"/>
      <c r="B342" s="46"/>
      <c r="C342" s="46"/>
      <c r="D342" s="47"/>
      <c r="E342" s="47"/>
      <c r="F342" s="44"/>
      <c r="G342" s="47"/>
      <c r="H342" s="48"/>
    </row>
    <row r="343" spans="1:8" x14ac:dyDescent="0.3">
      <c r="A343" s="45"/>
      <c r="B343" s="46"/>
      <c r="C343" s="46"/>
      <c r="D343" s="47"/>
      <c r="E343" s="47"/>
      <c r="F343" s="44"/>
      <c r="G343" s="47"/>
      <c r="H343" s="48"/>
    </row>
    <row r="344" spans="1:8" x14ac:dyDescent="0.3">
      <c r="A344" s="45"/>
      <c r="B344" s="46"/>
      <c r="C344" s="46"/>
      <c r="D344" s="47"/>
      <c r="E344" s="47"/>
      <c r="F344" s="44"/>
      <c r="G344" s="47"/>
      <c r="H344" s="48"/>
    </row>
    <row r="345" spans="1:8" x14ac:dyDescent="0.3">
      <c r="A345" s="45"/>
      <c r="B345" s="46"/>
      <c r="C345" s="46"/>
      <c r="D345" s="47"/>
      <c r="E345" s="47"/>
      <c r="F345" s="44"/>
      <c r="G345" s="47"/>
      <c r="H345" s="48"/>
    </row>
    <row r="346" spans="1:8" x14ac:dyDescent="0.3">
      <c r="A346" s="45"/>
      <c r="B346" s="46"/>
      <c r="C346" s="46"/>
      <c r="D346" s="47"/>
      <c r="E346" s="47"/>
      <c r="F346" s="44"/>
      <c r="G346" s="47"/>
      <c r="H346" s="48"/>
    </row>
    <row r="347" spans="1:8" x14ac:dyDescent="0.3">
      <c r="A347" s="45"/>
      <c r="B347" s="46"/>
      <c r="C347" s="46"/>
      <c r="D347" s="47"/>
      <c r="E347" s="47"/>
      <c r="F347" s="44"/>
      <c r="G347" s="47"/>
      <c r="H347" s="48"/>
    </row>
    <row r="348" spans="1:8" x14ac:dyDescent="0.3">
      <c r="A348" s="45"/>
      <c r="B348" s="46"/>
      <c r="C348" s="46"/>
      <c r="D348" s="47"/>
      <c r="E348" s="47"/>
      <c r="F348" s="44"/>
      <c r="G348" s="47"/>
      <c r="H348" s="48"/>
    </row>
    <row r="349" spans="1:8" x14ac:dyDescent="0.3">
      <c r="A349" s="45"/>
      <c r="B349" s="46"/>
      <c r="C349" s="46"/>
      <c r="D349" s="47"/>
      <c r="E349" s="47"/>
      <c r="F349" s="44"/>
      <c r="G349" s="47"/>
      <c r="H349" s="48"/>
    </row>
    <row r="350" spans="1:8" x14ac:dyDescent="0.3">
      <c r="A350" s="45"/>
      <c r="B350" s="46"/>
      <c r="C350" s="46"/>
      <c r="D350" s="47"/>
      <c r="E350" s="47"/>
      <c r="F350" s="44"/>
      <c r="G350" s="47"/>
      <c r="H350" s="48"/>
    </row>
    <row r="351" spans="1:8" x14ac:dyDescent="0.3">
      <c r="A351" s="31"/>
      <c r="B351" s="39"/>
      <c r="C351" s="32"/>
      <c r="D351" s="32"/>
      <c r="E351" s="32"/>
      <c r="F351" s="32"/>
      <c r="G351" s="32"/>
      <c r="H351" s="52"/>
    </row>
    <row r="352" spans="1:8" x14ac:dyDescent="0.3">
      <c r="A352" s="31"/>
      <c r="B352" s="39"/>
      <c r="C352" s="32"/>
      <c r="D352" s="32"/>
      <c r="E352" s="32"/>
      <c r="F352" s="32"/>
      <c r="G352" s="32"/>
      <c r="H352" s="52"/>
    </row>
    <row r="353" spans="1:8" x14ac:dyDescent="0.3">
      <c r="A353" s="31"/>
      <c r="B353" s="39"/>
      <c r="C353" s="32"/>
      <c r="D353" s="32"/>
      <c r="E353" s="32"/>
      <c r="F353" s="32"/>
      <c r="G353" s="32"/>
      <c r="H353" s="52"/>
    </row>
    <row r="354" spans="1:8" x14ac:dyDescent="0.3">
      <c r="A354" s="31"/>
      <c r="B354" s="39"/>
      <c r="C354" s="32"/>
      <c r="D354" s="32"/>
      <c r="E354" s="32"/>
      <c r="F354" s="32"/>
      <c r="G354" s="32"/>
      <c r="H354" s="52"/>
    </row>
    <row r="355" spans="1:8" x14ac:dyDescent="0.3">
      <c r="A355" s="31"/>
      <c r="B355" s="39"/>
      <c r="C355" s="32"/>
      <c r="D355" s="32"/>
      <c r="E355" s="32"/>
      <c r="F355" s="32"/>
      <c r="G355" s="32"/>
      <c r="H355" s="52"/>
    </row>
    <row r="356" spans="1:8" x14ac:dyDescent="0.3">
      <c r="A356" s="31"/>
      <c r="B356" s="39"/>
      <c r="C356" s="32"/>
      <c r="D356" s="32"/>
      <c r="E356" s="32"/>
      <c r="F356" s="32"/>
      <c r="G356" s="32"/>
      <c r="H356" s="52"/>
    </row>
    <row r="357" spans="1:8" x14ac:dyDescent="0.3">
      <c r="A357" s="31"/>
      <c r="B357" s="39"/>
      <c r="C357" s="32"/>
      <c r="D357" s="32"/>
      <c r="E357" s="32"/>
      <c r="F357" s="32"/>
      <c r="G357" s="32"/>
      <c r="H357" s="52"/>
    </row>
    <row r="358" spans="1:8" x14ac:dyDescent="0.3">
      <c r="A358" s="31"/>
      <c r="B358" s="39"/>
      <c r="C358" s="32"/>
      <c r="D358" s="32"/>
      <c r="E358" s="32"/>
      <c r="F358" s="32"/>
      <c r="G358" s="32"/>
      <c r="H358" s="52"/>
    </row>
    <row r="359" spans="1:8" x14ac:dyDescent="0.3">
      <c r="A359" s="31"/>
      <c r="B359" s="39"/>
      <c r="C359" s="32"/>
      <c r="D359" s="32"/>
      <c r="E359" s="32"/>
      <c r="F359" s="32"/>
      <c r="G359" s="32"/>
      <c r="H359" s="52"/>
    </row>
    <row r="360" spans="1:8" x14ac:dyDescent="0.3">
      <c r="A360" s="31"/>
      <c r="B360" s="39"/>
      <c r="C360" s="32"/>
      <c r="D360" s="32"/>
      <c r="E360" s="32"/>
      <c r="F360" s="32"/>
      <c r="G360" s="32"/>
      <c r="H360" s="52"/>
    </row>
    <row r="361" spans="1:8" x14ac:dyDescent="0.3">
      <c r="A361" s="31"/>
      <c r="B361" s="39"/>
      <c r="C361" s="32"/>
      <c r="D361" s="32"/>
      <c r="E361" s="32"/>
      <c r="F361" s="32"/>
      <c r="G361" s="32"/>
      <c r="H361" s="52"/>
    </row>
    <row r="362" spans="1:8" x14ac:dyDescent="0.3">
      <c r="A362" s="31"/>
      <c r="B362" s="39"/>
      <c r="C362" s="32"/>
      <c r="D362" s="32"/>
      <c r="E362" s="32"/>
      <c r="F362" s="32"/>
      <c r="G362" s="32"/>
      <c r="H362" s="52"/>
    </row>
    <row r="363" spans="1:8" x14ac:dyDescent="0.3">
      <c r="A363" s="31"/>
      <c r="B363" s="39"/>
      <c r="C363" s="32"/>
      <c r="D363" s="32"/>
      <c r="E363" s="32"/>
      <c r="F363" s="32"/>
      <c r="G363" s="32"/>
      <c r="H363" s="52"/>
    </row>
    <row r="364" spans="1:8" x14ac:dyDescent="0.3">
      <c r="A364" s="31"/>
      <c r="B364" s="39"/>
      <c r="C364" s="32"/>
      <c r="D364" s="32"/>
      <c r="E364" s="32"/>
      <c r="F364" s="32"/>
      <c r="G364" s="32"/>
      <c r="H364" s="52"/>
    </row>
    <row r="365" spans="1:8" x14ac:dyDescent="0.3">
      <c r="A365" s="31"/>
      <c r="B365" s="39"/>
      <c r="C365" s="32"/>
      <c r="D365" s="32"/>
      <c r="E365" s="32"/>
      <c r="F365" s="32"/>
      <c r="G365" s="32"/>
      <c r="H365" s="52"/>
    </row>
    <row r="366" spans="1:8" x14ac:dyDescent="0.3">
      <c r="A366" s="31"/>
      <c r="B366" s="39"/>
      <c r="C366" s="32"/>
      <c r="D366" s="32"/>
      <c r="E366" s="32"/>
      <c r="F366" s="32"/>
      <c r="G366" s="32"/>
      <c r="H366" s="52"/>
    </row>
    <row r="367" spans="1:8" x14ac:dyDescent="0.3">
      <c r="A367" s="31"/>
      <c r="B367" s="39"/>
      <c r="C367" s="32"/>
      <c r="D367" s="32"/>
      <c r="E367" s="32"/>
      <c r="F367" s="32"/>
      <c r="G367" s="32"/>
      <c r="H367" s="52"/>
    </row>
    <row r="368" spans="1:8" x14ac:dyDescent="0.3">
      <c r="A368" s="31"/>
      <c r="B368" s="39"/>
      <c r="C368" s="32"/>
      <c r="D368" s="32"/>
      <c r="E368" s="32"/>
      <c r="F368" s="32"/>
      <c r="G368" s="32"/>
      <c r="H368" s="52"/>
    </row>
    <row r="369" spans="1:8" x14ac:dyDescent="0.3">
      <c r="A369" s="31"/>
      <c r="B369" s="39"/>
      <c r="C369" s="32"/>
      <c r="D369" s="32"/>
      <c r="E369" s="32"/>
      <c r="F369" s="32"/>
      <c r="G369" s="32"/>
      <c r="H369" s="52"/>
    </row>
    <row r="370" spans="1:8" x14ac:dyDescent="0.3">
      <c r="A370" s="31"/>
      <c r="B370" s="39"/>
      <c r="C370" s="32"/>
      <c r="D370" s="32"/>
      <c r="E370" s="32"/>
      <c r="F370" s="32"/>
      <c r="G370" s="32"/>
      <c r="H370" s="52"/>
    </row>
    <row r="371" spans="1:8" x14ac:dyDescent="0.3">
      <c r="A371" s="31"/>
      <c r="B371" s="39"/>
      <c r="C371" s="32"/>
      <c r="D371" s="32"/>
      <c r="E371" s="32"/>
      <c r="F371" s="32"/>
      <c r="G371" s="32"/>
      <c r="H371" s="52"/>
    </row>
    <row r="372" spans="1:8" x14ac:dyDescent="0.3">
      <c r="A372" s="31"/>
      <c r="B372" s="39"/>
      <c r="C372" s="32"/>
      <c r="D372" s="32"/>
      <c r="E372" s="32"/>
      <c r="F372" s="32"/>
      <c r="G372" s="32"/>
      <c r="H372" s="52"/>
    </row>
    <row r="373" spans="1:8" x14ac:dyDescent="0.3">
      <c r="A373" s="31"/>
      <c r="B373" s="39"/>
      <c r="C373" s="32"/>
      <c r="D373" s="32"/>
      <c r="E373" s="32"/>
      <c r="F373" s="32"/>
      <c r="G373" s="32"/>
      <c r="H373" s="52"/>
    </row>
    <row r="374" spans="1:8" x14ac:dyDescent="0.3">
      <c r="A374" s="31"/>
      <c r="B374" s="39"/>
      <c r="C374" s="32"/>
      <c r="D374" s="32"/>
      <c r="E374" s="32"/>
      <c r="F374" s="32"/>
      <c r="G374" s="32"/>
      <c r="H374" s="52"/>
    </row>
    <row r="375" spans="1:8" x14ac:dyDescent="0.3">
      <c r="A375" s="31"/>
      <c r="B375" s="39"/>
      <c r="C375" s="32"/>
      <c r="D375" s="32"/>
      <c r="E375" s="32"/>
      <c r="F375" s="32"/>
      <c r="G375" s="32"/>
      <c r="H375" s="52"/>
    </row>
    <row r="376" spans="1:8" x14ac:dyDescent="0.3">
      <c r="A376" s="31"/>
      <c r="B376" s="39"/>
      <c r="C376" s="32"/>
      <c r="D376" s="32"/>
      <c r="E376" s="32"/>
      <c r="F376" s="32"/>
      <c r="G376" s="32"/>
      <c r="H376" s="52"/>
    </row>
    <row r="377" spans="1:8" x14ac:dyDescent="0.3">
      <c r="A377" s="31"/>
      <c r="B377" s="39"/>
      <c r="C377" s="32"/>
      <c r="D377" s="32"/>
      <c r="E377" s="32"/>
      <c r="F377" s="32"/>
      <c r="G377" s="32"/>
      <c r="H377" s="52"/>
    </row>
    <row r="378" spans="1:8" x14ac:dyDescent="0.3">
      <c r="A378" s="31"/>
      <c r="B378" s="39"/>
      <c r="C378" s="32"/>
      <c r="D378" s="32"/>
      <c r="E378" s="32"/>
      <c r="F378" s="32"/>
      <c r="G378" s="32"/>
      <c r="H378" s="52"/>
    </row>
    <row r="379" spans="1:8" x14ac:dyDescent="0.3">
      <c r="A379" s="31"/>
      <c r="B379" s="39"/>
      <c r="C379" s="32"/>
      <c r="D379" s="32"/>
      <c r="E379" s="32"/>
      <c r="F379" s="32"/>
      <c r="G379" s="32"/>
      <c r="H379" s="52"/>
    </row>
    <row r="380" spans="1:8" x14ac:dyDescent="0.3">
      <c r="A380" s="31"/>
      <c r="B380" s="39"/>
      <c r="C380" s="32"/>
      <c r="D380" s="32"/>
      <c r="E380" s="32"/>
      <c r="F380" s="32"/>
      <c r="G380" s="32"/>
      <c r="H380" s="52"/>
    </row>
    <row r="381" spans="1:8" x14ac:dyDescent="0.3">
      <c r="A381" s="31"/>
      <c r="B381" s="39"/>
      <c r="C381" s="32"/>
      <c r="D381" s="32"/>
      <c r="E381" s="32"/>
      <c r="F381" s="32"/>
      <c r="G381" s="32"/>
      <c r="H381" s="52"/>
    </row>
    <row r="382" spans="1:8" x14ac:dyDescent="0.3">
      <c r="A382" s="31"/>
      <c r="B382" s="39"/>
      <c r="C382" s="32"/>
      <c r="D382" s="32"/>
      <c r="E382" s="32"/>
      <c r="F382" s="32"/>
      <c r="G382" s="32"/>
      <c r="H382" s="52"/>
    </row>
    <row r="383" spans="1:8" x14ac:dyDescent="0.3">
      <c r="A383" s="31"/>
      <c r="B383" s="39"/>
      <c r="C383" s="32"/>
      <c r="D383" s="32"/>
      <c r="E383" s="32"/>
      <c r="F383" s="32"/>
      <c r="G383" s="32"/>
      <c r="H383" s="52"/>
    </row>
    <row r="384" spans="1:8" x14ac:dyDescent="0.3">
      <c r="A384" s="31"/>
      <c r="B384" s="39"/>
      <c r="C384" s="32"/>
      <c r="D384" s="32"/>
      <c r="E384" s="32"/>
      <c r="F384" s="32"/>
      <c r="G384" s="32"/>
      <c r="H384" s="52"/>
    </row>
    <row r="385" spans="1:8" x14ac:dyDescent="0.3">
      <c r="A385" s="31"/>
      <c r="B385" s="39"/>
      <c r="C385" s="32"/>
      <c r="D385" s="32"/>
      <c r="E385" s="32"/>
      <c r="F385" s="32"/>
      <c r="G385" s="32"/>
      <c r="H385" s="52"/>
    </row>
    <row r="386" spans="1:8" x14ac:dyDescent="0.3">
      <c r="A386" s="31"/>
      <c r="B386" s="39"/>
      <c r="C386" s="32"/>
      <c r="D386" s="32"/>
      <c r="E386" s="32"/>
      <c r="F386" s="32"/>
      <c r="G386" s="32"/>
      <c r="H386" s="52"/>
    </row>
    <row r="387" spans="1:8" x14ac:dyDescent="0.3">
      <c r="A387" s="31"/>
      <c r="B387" s="39"/>
      <c r="C387" s="32"/>
      <c r="D387" s="32"/>
      <c r="E387" s="32"/>
      <c r="F387" s="32"/>
      <c r="G387" s="32"/>
      <c r="H387" s="52"/>
    </row>
    <row r="388" spans="1:8" x14ac:dyDescent="0.3">
      <c r="A388" s="31"/>
      <c r="B388" s="39"/>
      <c r="C388" s="32"/>
      <c r="D388" s="32"/>
      <c r="E388" s="32"/>
      <c r="F388" s="32"/>
      <c r="G388" s="32"/>
      <c r="H388" s="52"/>
    </row>
    <row r="389" spans="1:8" x14ac:dyDescent="0.3">
      <c r="A389" s="31"/>
      <c r="B389" s="39"/>
      <c r="C389" s="32"/>
      <c r="D389" s="32"/>
      <c r="E389" s="32"/>
      <c r="F389" s="32"/>
      <c r="G389" s="32"/>
      <c r="H389" s="52"/>
    </row>
    <row r="390" spans="1:8" x14ac:dyDescent="0.3">
      <c r="A390" s="31"/>
      <c r="B390" s="39"/>
      <c r="C390" s="32"/>
      <c r="D390" s="32"/>
      <c r="E390" s="32"/>
      <c r="F390" s="32"/>
      <c r="G390" s="32"/>
      <c r="H390" s="52"/>
    </row>
    <row r="391" spans="1:8" x14ac:dyDescent="0.3">
      <c r="A391" s="31"/>
      <c r="B391" s="39"/>
      <c r="C391" s="32"/>
      <c r="D391" s="32"/>
      <c r="E391" s="32"/>
      <c r="F391" s="32"/>
      <c r="G391" s="32"/>
      <c r="H391" s="52"/>
    </row>
    <row r="392" spans="1:8" x14ac:dyDescent="0.3">
      <c r="A392" s="31"/>
      <c r="B392" s="39"/>
      <c r="C392" s="32"/>
      <c r="D392" s="32"/>
      <c r="E392" s="32"/>
      <c r="F392" s="32"/>
      <c r="G392" s="32"/>
      <c r="H392" s="52"/>
    </row>
    <row r="393" spans="1:8" x14ac:dyDescent="0.3">
      <c r="A393" s="31"/>
      <c r="B393" s="39"/>
      <c r="C393" s="32"/>
      <c r="D393" s="32"/>
      <c r="E393" s="32"/>
      <c r="F393" s="32"/>
      <c r="G393" s="32"/>
      <c r="H393" s="52"/>
    </row>
    <row r="394" spans="1:8" x14ac:dyDescent="0.3">
      <c r="A394" s="31"/>
      <c r="B394" s="39"/>
      <c r="C394" s="32"/>
      <c r="D394" s="32"/>
      <c r="E394" s="32"/>
      <c r="F394" s="32"/>
      <c r="G394" s="32"/>
      <c r="H394" s="52"/>
    </row>
    <row r="395" spans="1:8" x14ac:dyDescent="0.3">
      <c r="A395" s="31"/>
      <c r="B395" s="39"/>
      <c r="C395" s="32"/>
      <c r="D395" s="32"/>
      <c r="E395" s="32"/>
      <c r="F395" s="32"/>
      <c r="G395" s="32"/>
      <c r="H395" s="52"/>
    </row>
    <row r="396" spans="1:8" x14ac:dyDescent="0.3">
      <c r="A396" s="31"/>
      <c r="B396" s="39"/>
      <c r="C396" s="32"/>
      <c r="D396" s="32"/>
      <c r="E396" s="32"/>
      <c r="F396" s="32"/>
      <c r="G396" s="32"/>
      <c r="H396" s="52"/>
    </row>
    <row r="397" spans="1:8" x14ac:dyDescent="0.3">
      <c r="A397" s="31"/>
      <c r="B397" s="39"/>
      <c r="C397" s="32"/>
      <c r="D397" s="32"/>
      <c r="E397" s="32"/>
      <c r="F397" s="32"/>
      <c r="G397" s="32"/>
      <c r="H397" s="52"/>
    </row>
    <row r="398" spans="1:8" x14ac:dyDescent="0.3">
      <c r="A398" s="31"/>
      <c r="B398" s="39"/>
      <c r="C398" s="32"/>
      <c r="D398" s="32"/>
      <c r="E398" s="32"/>
      <c r="F398" s="32"/>
      <c r="G398" s="32"/>
      <c r="H398" s="52"/>
    </row>
    <row r="399" spans="1:8" x14ac:dyDescent="0.3">
      <c r="A399" s="31"/>
      <c r="B399" s="39"/>
      <c r="C399" s="32"/>
      <c r="D399" s="32"/>
      <c r="E399" s="32"/>
      <c r="F399" s="32"/>
      <c r="G399" s="32"/>
      <c r="H399" s="52"/>
    </row>
    <row r="400" spans="1:8" x14ac:dyDescent="0.3">
      <c r="A400" s="31"/>
      <c r="B400" s="39"/>
      <c r="C400" s="32"/>
      <c r="D400" s="32"/>
      <c r="E400" s="32"/>
      <c r="F400" s="32"/>
      <c r="G400" s="32"/>
      <c r="H400" s="52"/>
    </row>
    <row r="401" spans="1:8" x14ac:dyDescent="0.3">
      <c r="A401" s="31"/>
      <c r="B401" s="39"/>
      <c r="C401" s="32"/>
      <c r="D401" s="32"/>
      <c r="E401" s="32"/>
      <c r="F401" s="32"/>
      <c r="G401" s="32"/>
      <c r="H401" s="52"/>
    </row>
    <row r="402" spans="1:8" x14ac:dyDescent="0.3">
      <c r="A402" s="31"/>
      <c r="B402" s="39"/>
      <c r="C402" s="32"/>
      <c r="D402" s="32"/>
      <c r="E402" s="32"/>
      <c r="F402" s="32"/>
      <c r="G402" s="32"/>
      <c r="H402" s="52"/>
    </row>
    <row r="403" spans="1:8" x14ac:dyDescent="0.3">
      <c r="A403" s="31"/>
      <c r="B403" s="39"/>
      <c r="C403" s="32"/>
      <c r="D403" s="32"/>
      <c r="E403" s="32"/>
      <c r="F403" s="32"/>
      <c r="G403" s="32"/>
      <c r="H403" s="52"/>
    </row>
    <row r="404" spans="1:8" x14ac:dyDescent="0.3">
      <c r="A404" s="31"/>
      <c r="B404" s="39"/>
      <c r="C404" s="32"/>
      <c r="D404" s="32"/>
      <c r="E404" s="32"/>
      <c r="F404" s="32"/>
      <c r="G404" s="32"/>
      <c r="H404" s="52"/>
    </row>
    <row r="405" spans="1:8" x14ac:dyDescent="0.3">
      <c r="A405" s="31"/>
      <c r="B405" s="39"/>
      <c r="C405" s="32"/>
      <c r="D405" s="32"/>
      <c r="E405" s="32"/>
      <c r="F405" s="32"/>
      <c r="G405" s="32"/>
      <c r="H405" s="52"/>
    </row>
    <row r="406" spans="1:8" x14ac:dyDescent="0.3">
      <c r="A406" s="31"/>
      <c r="B406" s="39"/>
      <c r="C406" s="32"/>
      <c r="D406" s="32"/>
      <c r="E406" s="32"/>
      <c r="F406" s="32"/>
      <c r="G406" s="32"/>
      <c r="H406" s="52"/>
    </row>
    <row r="407" spans="1:8" x14ac:dyDescent="0.3">
      <c r="A407" s="31"/>
      <c r="B407" s="39"/>
      <c r="C407" s="32"/>
      <c r="D407" s="32"/>
      <c r="E407" s="32"/>
      <c r="F407" s="32"/>
      <c r="G407" s="32"/>
      <c r="H407" s="52"/>
    </row>
    <row r="408" spans="1:8" x14ac:dyDescent="0.3">
      <c r="A408" s="31"/>
      <c r="B408" s="39"/>
      <c r="C408" s="32"/>
      <c r="D408" s="32"/>
      <c r="E408" s="32"/>
      <c r="F408" s="32"/>
      <c r="G408" s="32"/>
      <c r="H408" s="52"/>
    </row>
    <row r="409" spans="1:8" x14ac:dyDescent="0.3">
      <c r="A409" s="31"/>
      <c r="B409" s="39"/>
      <c r="C409" s="32"/>
      <c r="D409" s="32"/>
      <c r="E409" s="32"/>
      <c r="F409" s="32"/>
      <c r="G409" s="32"/>
      <c r="H409" s="52"/>
    </row>
    <row r="410" spans="1:8" x14ac:dyDescent="0.3">
      <c r="A410" s="31"/>
      <c r="B410" s="39"/>
      <c r="C410" s="32"/>
      <c r="D410" s="32"/>
      <c r="E410" s="32"/>
      <c r="F410" s="32"/>
      <c r="G410" s="32"/>
      <c r="H410" s="52"/>
    </row>
    <row r="411" spans="1:8" x14ac:dyDescent="0.3">
      <c r="A411" s="31"/>
      <c r="B411" s="39"/>
      <c r="C411" s="32"/>
      <c r="D411" s="32"/>
      <c r="E411" s="32"/>
      <c r="F411" s="32"/>
      <c r="G411" s="32"/>
      <c r="H411" s="52"/>
    </row>
    <row r="412" spans="1:8" x14ac:dyDescent="0.3">
      <c r="A412" s="31"/>
      <c r="B412" s="39"/>
      <c r="C412" s="32"/>
      <c r="D412" s="32"/>
      <c r="E412" s="32"/>
      <c r="F412" s="32"/>
      <c r="G412" s="32"/>
      <c r="H412" s="52"/>
    </row>
    <row r="413" spans="1:8" x14ac:dyDescent="0.3">
      <c r="A413" s="31"/>
      <c r="B413" s="39"/>
      <c r="C413" s="32"/>
      <c r="D413" s="32"/>
      <c r="E413" s="32"/>
      <c r="F413" s="32"/>
      <c r="G413" s="32"/>
      <c r="H413" s="52"/>
    </row>
    <row r="414" spans="1:8" x14ac:dyDescent="0.3">
      <c r="A414" s="31"/>
      <c r="B414" s="39"/>
      <c r="C414" s="32"/>
      <c r="D414" s="32"/>
      <c r="E414" s="32"/>
      <c r="F414" s="32"/>
      <c r="G414" s="32"/>
      <c r="H414" s="52"/>
    </row>
    <row r="415" spans="1:8" x14ac:dyDescent="0.3">
      <c r="A415" s="31"/>
      <c r="B415" s="39"/>
      <c r="C415" s="32"/>
      <c r="D415" s="32"/>
      <c r="E415" s="32"/>
      <c r="F415" s="32"/>
      <c r="G415" s="32"/>
      <c r="H415" s="52"/>
    </row>
    <row r="416" spans="1:8" x14ac:dyDescent="0.3">
      <c r="A416" s="31"/>
      <c r="B416" s="39"/>
      <c r="C416" s="32"/>
      <c r="D416" s="32"/>
      <c r="E416" s="32"/>
      <c r="F416" s="32"/>
      <c r="G416" s="32"/>
      <c r="H416" s="52"/>
    </row>
    <row r="417" spans="1:8" x14ac:dyDescent="0.3">
      <c r="A417" s="31"/>
      <c r="B417" s="39"/>
      <c r="C417" s="32"/>
      <c r="D417" s="32"/>
      <c r="E417" s="32"/>
      <c r="F417" s="32"/>
      <c r="G417" s="32"/>
      <c r="H417" s="52"/>
    </row>
    <row r="418" spans="1:8" x14ac:dyDescent="0.3">
      <c r="A418" s="31"/>
      <c r="B418" s="39"/>
      <c r="C418" s="32"/>
      <c r="D418" s="32"/>
      <c r="E418" s="32"/>
      <c r="F418" s="32"/>
      <c r="G418" s="32"/>
      <c r="H418" s="52"/>
    </row>
    <row r="419" spans="1:8" x14ac:dyDescent="0.3">
      <c r="A419" s="31"/>
      <c r="B419" s="39"/>
      <c r="C419" s="32"/>
      <c r="D419" s="32"/>
      <c r="E419" s="32"/>
      <c r="F419" s="32"/>
      <c r="G419" s="32"/>
      <c r="H419" s="52"/>
    </row>
    <row r="420" spans="1:8" x14ac:dyDescent="0.3">
      <c r="A420" s="31"/>
      <c r="B420" s="39"/>
      <c r="C420" s="32"/>
      <c r="D420" s="32"/>
      <c r="E420" s="32"/>
      <c r="F420" s="32"/>
      <c r="G420" s="32"/>
      <c r="H420" s="52"/>
    </row>
    <row r="421" spans="1:8" x14ac:dyDescent="0.3">
      <c r="A421" s="31"/>
      <c r="B421" s="39"/>
      <c r="C421" s="32"/>
      <c r="D421" s="32"/>
      <c r="E421" s="32"/>
      <c r="F421" s="32"/>
      <c r="G421" s="32"/>
      <c r="H421" s="52"/>
    </row>
    <row r="422" spans="1:8" x14ac:dyDescent="0.3">
      <c r="A422" s="31"/>
      <c r="B422" s="39"/>
      <c r="C422" s="32"/>
      <c r="D422" s="32"/>
      <c r="E422" s="32"/>
      <c r="F422" s="32"/>
      <c r="G422" s="32"/>
      <c r="H422" s="52"/>
    </row>
    <row r="423" spans="1:8" x14ac:dyDescent="0.3">
      <c r="A423" s="31"/>
      <c r="B423" s="39"/>
      <c r="C423" s="32"/>
      <c r="D423" s="32"/>
      <c r="E423" s="32"/>
      <c r="F423" s="32"/>
      <c r="G423" s="32"/>
      <c r="H423" s="52"/>
    </row>
    <row r="424" spans="1:8" x14ac:dyDescent="0.3">
      <c r="A424" s="31"/>
      <c r="B424" s="39"/>
      <c r="C424" s="32"/>
      <c r="D424" s="32"/>
      <c r="E424" s="32"/>
      <c r="F424" s="32"/>
      <c r="G424" s="32"/>
      <c r="H424" s="52"/>
    </row>
    <row r="425" spans="1:8" x14ac:dyDescent="0.3">
      <c r="A425" s="31"/>
      <c r="B425" s="39"/>
      <c r="C425" s="32"/>
      <c r="D425" s="32"/>
      <c r="E425" s="32"/>
      <c r="F425" s="32"/>
      <c r="G425" s="32"/>
      <c r="H425" s="52"/>
    </row>
    <row r="426" spans="1:8" x14ac:dyDescent="0.3">
      <c r="A426" s="31"/>
      <c r="B426" s="39"/>
      <c r="C426" s="32"/>
      <c r="D426" s="32"/>
      <c r="E426" s="32"/>
      <c r="F426" s="32"/>
      <c r="G426" s="32"/>
      <c r="H426" s="52"/>
    </row>
    <row r="427" spans="1:8" x14ac:dyDescent="0.3">
      <c r="A427" s="31"/>
      <c r="B427" s="39"/>
      <c r="C427" s="32"/>
      <c r="D427" s="32"/>
      <c r="E427" s="32"/>
      <c r="F427" s="32"/>
      <c r="G427" s="32"/>
      <c r="H427" s="52"/>
    </row>
    <row r="428" spans="1:8" x14ac:dyDescent="0.3">
      <c r="A428" s="31"/>
      <c r="B428" s="39"/>
      <c r="C428" s="32"/>
      <c r="D428" s="32"/>
      <c r="E428" s="32"/>
      <c r="F428" s="32"/>
      <c r="G428" s="32"/>
      <c r="H428" s="52"/>
    </row>
    <row r="429" spans="1:8" x14ac:dyDescent="0.3">
      <c r="A429" s="31"/>
      <c r="B429" s="39"/>
      <c r="C429" s="32"/>
      <c r="D429" s="32"/>
      <c r="E429" s="32"/>
      <c r="F429" s="32"/>
      <c r="G429" s="32"/>
      <c r="H429" s="52"/>
    </row>
    <row r="430" spans="1:8" x14ac:dyDescent="0.3">
      <c r="A430" s="31"/>
      <c r="B430" s="39"/>
      <c r="C430" s="32"/>
      <c r="D430" s="32"/>
      <c r="E430" s="32"/>
      <c r="F430" s="32"/>
      <c r="G430" s="32"/>
      <c r="H430" s="52"/>
    </row>
    <row r="431" spans="1:8" x14ac:dyDescent="0.3">
      <c r="A431" s="31"/>
      <c r="B431" s="39"/>
      <c r="C431" s="32"/>
      <c r="D431" s="32"/>
      <c r="E431" s="32"/>
      <c r="F431" s="32"/>
      <c r="G431" s="32"/>
      <c r="H431" s="52"/>
    </row>
    <row r="432" spans="1:8" x14ac:dyDescent="0.3">
      <c r="A432" s="31"/>
      <c r="B432" s="39"/>
      <c r="C432" s="32"/>
      <c r="D432" s="32"/>
      <c r="E432" s="32"/>
      <c r="F432" s="32"/>
      <c r="G432" s="32"/>
      <c r="H432" s="52"/>
    </row>
    <row r="433" spans="1:8" x14ac:dyDescent="0.3">
      <c r="A433" s="31"/>
      <c r="B433" s="39"/>
      <c r="C433" s="32"/>
      <c r="D433" s="32"/>
      <c r="E433" s="32"/>
      <c r="F433" s="32"/>
      <c r="G433" s="32"/>
      <c r="H433" s="52"/>
    </row>
    <row r="434" spans="1:8" x14ac:dyDescent="0.3">
      <c r="A434" s="31"/>
      <c r="B434" s="39"/>
      <c r="C434" s="32"/>
      <c r="D434" s="32"/>
      <c r="E434" s="32"/>
      <c r="F434" s="32"/>
      <c r="G434" s="32"/>
      <c r="H434" s="52"/>
    </row>
    <row r="435" spans="1:8" x14ac:dyDescent="0.3">
      <c r="A435" s="31"/>
      <c r="B435" s="39"/>
      <c r="C435" s="32"/>
      <c r="D435" s="32"/>
      <c r="E435" s="32"/>
      <c r="F435" s="32"/>
      <c r="G435" s="32"/>
      <c r="H435" s="52"/>
    </row>
    <row r="436" spans="1:8" x14ac:dyDescent="0.3">
      <c r="A436" s="31"/>
      <c r="B436" s="39"/>
      <c r="C436" s="32"/>
      <c r="D436" s="32"/>
      <c r="E436" s="32"/>
      <c r="F436" s="32"/>
      <c r="G436" s="32"/>
      <c r="H436" s="52"/>
    </row>
    <row r="437" spans="1:8" x14ac:dyDescent="0.3">
      <c r="A437" s="31"/>
      <c r="B437" s="39"/>
      <c r="C437" s="32"/>
      <c r="D437" s="32"/>
      <c r="E437" s="32"/>
      <c r="F437" s="32"/>
      <c r="G437" s="32"/>
      <c r="H437" s="52"/>
    </row>
    <row r="438" spans="1:8" x14ac:dyDescent="0.3">
      <c r="A438" s="31"/>
      <c r="B438" s="39"/>
      <c r="C438" s="32"/>
      <c r="D438" s="32"/>
      <c r="E438" s="32"/>
      <c r="F438" s="32"/>
      <c r="G438" s="32"/>
      <c r="H438" s="52"/>
    </row>
    <row r="439" spans="1:8" x14ac:dyDescent="0.3">
      <c r="A439" s="31"/>
      <c r="B439" s="39"/>
      <c r="C439" s="32"/>
      <c r="D439" s="32"/>
      <c r="E439" s="32"/>
      <c r="F439" s="32"/>
      <c r="G439" s="32"/>
      <c r="H439" s="52"/>
    </row>
    <row r="440" spans="1:8" x14ac:dyDescent="0.3">
      <c r="A440" s="31"/>
      <c r="B440" s="39"/>
      <c r="C440" s="32"/>
      <c r="D440" s="32"/>
      <c r="E440" s="32"/>
      <c r="F440" s="32"/>
      <c r="G440" s="32"/>
      <c r="H440" s="52"/>
    </row>
    <row r="441" spans="1:8" x14ac:dyDescent="0.3">
      <c r="A441" s="31"/>
      <c r="B441" s="39"/>
      <c r="C441" s="32"/>
      <c r="D441" s="32"/>
      <c r="E441" s="32"/>
      <c r="F441" s="32"/>
      <c r="G441" s="32"/>
      <c r="H441" s="52"/>
    </row>
    <row r="442" spans="1:8" x14ac:dyDescent="0.3">
      <c r="A442" s="31"/>
      <c r="B442" s="39"/>
      <c r="C442" s="32"/>
      <c r="D442" s="32"/>
      <c r="E442" s="32"/>
      <c r="F442" s="32"/>
      <c r="G442" s="32"/>
      <c r="H442" s="52"/>
    </row>
    <row r="443" spans="1:8" x14ac:dyDescent="0.3">
      <c r="A443" s="31"/>
      <c r="B443" s="39"/>
      <c r="C443" s="32"/>
      <c r="D443" s="32"/>
      <c r="E443" s="32"/>
      <c r="F443" s="32"/>
      <c r="G443" s="32"/>
      <c r="H443" s="52"/>
    </row>
    <row r="444" spans="1:8" x14ac:dyDescent="0.3">
      <c r="A444" s="31"/>
      <c r="B444" s="39"/>
      <c r="C444" s="32"/>
      <c r="D444" s="32"/>
      <c r="E444" s="32"/>
      <c r="F444" s="32"/>
      <c r="G444" s="32"/>
      <c r="H444" s="52"/>
    </row>
    <row r="445" spans="1:8" x14ac:dyDescent="0.3">
      <c r="A445" s="31"/>
      <c r="B445" s="39"/>
      <c r="C445" s="32"/>
      <c r="D445" s="32"/>
      <c r="E445" s="32"/>
      <c r="F445" s="32"/>
      <c r="G445" s="32"/>
      <c r="H445" s="52"/>
    </row>
    <row r="446" spans="1:8" x14ac:dyDescent="0.3">
      <c r="A446" s="31"/>
      <c r="B446" s="39"/>
      <c r="C446" s="32"/>
      <c r="D446" s="32"/>
      <c r="E446" s="32"/>
      <c r="F446" s="32"/>
      <c r="G446" s="32"/>
      <c r="H446" s="52"/>
    </row>
    <row r="447" spans="1:8" x14ac:dyDescent="0.3">
      <c r="A447" s="31"/>
      <c r="B447" s="39"/>
      <c r="C447" s="32"/>
      <c r="D447" s="32"/>
      <c r="E447" s="32"/>
      <c r="F447" s="32"/>
      <c r="G447" s="32"/>
      <c r="H447" s="52"/>
    </row>
    <row r="448" spans="1:8" x14ac:dyDescent="0.3">
      <c r="A448" s="31"/>
      <c r="B448" s="39"/>
      <c r="C448" s="32"/>
      <c r="D448" s="32"/>
      <c r="E448" s="32"/>
      <c r="F448" s="32"/>
      <c r="G448" s="32"/>
      <c r="H448" s="52"/>
    </row>
    <row r="449" spans="1:8" x14ac:dyDescent="0.3">
      <c r="A449" s="31"/>
      <c r="B449" s="39"/>
      <c r="C449" s="32"/>
      <c r="D449" s="32"/>
      <c r="E449" s="32"/>
      <c r="F449" s="32"/>
      <c r="G449" s="32"/>
      <c r="H449" s="52"/>
    </row>
    <row r="450" spans="1:8" x14ac:dyDescent="0.3">
      <c r="A450" s="31"/>
      <c r="B450" s="39"/>
      <c r="C450" s="32"/>
      <c r="D450" s="32"/>
      <c r="E450" s="32"/>
      <c r="F450" s="32"/>
      <c r="G450" s="32"/>
      <c r="H450" s="52"/>
    </row>
    <row r="451" spans="1:8" x14ac:dyDescent="0.3">
      <c r="A451" s="31"/>
      <c r="B451" s="39"/>
      <c r="C451" s="32"/>
      <c r="D451" s="32"/>
      <c r="E451" s="32"/>
      <c r="F451" s="32"/>
      <c r="G451" s="32"/>
      <c r="H451" s="52"/>
    </row>
    <row r="452" spans="1:8" x14ac:dyDescent="0.3">
      <c r="A452" s="31"/>
      <c r="B452" s="39"/>
      <c r="C452" s="32"/>
      <c r="D452" s="32"/>
      <c r="E452" s="32"/>
      <c r="F452" s="32"/>
      <c r="G452" s="32"/>
      <c r="H452" s="52"/>
    </row>
    <row r="453" spans="1:8" x14ac:dyDescent="0.3">
      <c r="A453" s="31"/>
      <c r="B453" s="39"/>
      <c r="C453" s="32"/>
      <c r="D453" s="32"/>
      <c r="E453" s="32"/>
      <c r="F453" s="32"/>
      <c r="G453" s="32"/>
      <c r="H453" s="52"/>
    </row>
    <row r="454" spans="1:8" x14ac:dyDescent="0.3">
      <c r="A454" s="31"/>
      <c r="B454" s="39"/>
      <c r="C454" s="32"/>
      <c r="D454" s="32"/>
      <c r="E454" s="32"/>
      <c r="F454" s="32"/>
      <c r="G454" s="32"/>
      <c r="H454" s="52"/>
    </row>
    <row r="455" spans="1:8" x14ac:dyDescent="0.3">
      <c r="A455" s="31"/>
      <c r="B455" s="39"/>
      <c r="C455" s="32"/>
      <c r="D455" s="32"/>
      <c r="E455" s="32"/>
      <c r="F455" s="32"/>
      <c r="G455" s="32"/>
      <c r="H455" s="52"/>
    </row>
    <row r="456" spans="1:8" x14ac:dyDescent="0.3">
      <c r="A456" s="31"/>
      <c r="B456" s="39"/>
      <c r="C456" s="32"/>
      <c r="D456" s="32"/>
      <c r="E456" s="32"/>
      <c r="F456" s="32"/>
      <c r="G456" s="32"/>
      <c r="H456" s="52"/>
    </row>
    <row r="457" spans="1:8" x14ac:dyDescent="0.3">
      <c r="A457" s="31"/>
      <c r="B457" s="39"/>
      <c r="C457" s="32"/>
      <c r="D457" s="32"/>
      <c r="E457" s="32"/>
      <c r="F457" s="32"/>
      <c r="G457" s="32"/>
      <c r="H457" s="52"/>
    </row>
    <row r="458" spans="1:8" x14ac:dyDescent="0.3">
      <c r="A458" s="31"/>
      <c r="B458" s="39"/>
      <c r="C458" s="32"/>
      <c r="D458" s="32"/>
      <c r="E458" s="32"/>
      <c r="F458" s="32"/>
      <c r="G458" s="32"/>
      <c r="H458" s="52"/>
    </row>
    <row r="459" spans="1:8" x14ac:dyDescent="0.3">
      <c r="A459" s="31"/>
      <c r="B459" s="39"/>
      <c r="C459" s="32"/>
      <c r="D459" s="32"/>
      <c r="E459" s="32"/>
      <c r="F459" s="32"/>
      <c r="G459" s="32"/>
      <c r="H459" s="52"/>
    </row>
    <row r="460" spans="1:8" x14ac:dyDescent="0.3">
      <c r="A460" s="31"/>
      <c r="B460" s="39"/>
      <c r="C460" s="32"/>
      <c r="D460" s="32"/>
      <c r="E460" s="32"/>
      <c r="F460" s="32"/>
      <c r="G460" s="32"/>
      <c r="H460" s="52"/>
    </row>
    <row r="461" spans="1:8" x14ac:dyDescent="0.3">
      <c r="A461" s="31"/>
      <c r="B461" s="39"/>
      <c r="C461" s="32"/>
      <c r="D461" s="32"/>
      <c r="E461" s="32"/>
      <c r="F461" s="32"/>
      <c r="G461" s="32"/>
      <c r="H461" s="52"/>
    </row>
    <row r="462" spans="1:8" x14ac:dyDescent="0.3">
      <c r="A462" s="31"/>
      <c r="B462" s="39"/>
      <c r="C462" s="32"/>
      <c r="D462" s="32"/>
      <c r="E462" s="32"/>
      <c r="F462" s="32"/>
      <c r="G462" s="32"/>
      <c r="H462" s="52"/>
    </row>
    <row r="463" spans="1:8" x14ac:dyDescent="0.3">
      <c r="A463" s="31"/>
      <c r="B463" s="39"/>
      <c r="C463" s="32"/>
      <c r="D463" s="32"/>
      <c r="E463" s="32"/>
      <c r="F463" s="32"/>
      <c r="G463" s="32"/>
      <c r="H463" s="52"/>
    </row>
    <row r="464" spans="1:8" x14ac:dyDescent="0.3">
      <c r="A464" s="31"/>
      <c r="B464" s="39"/>
      <c r="C464" s="32"/>
      <c r="D464" s="32"/>
      <c r="E464" s="32"/>
      <c r="F464" s="32"/>
      <c r="G464" s="32"/>
      <c r="H464" s="52"/>
    </row>
    <row r="465" spans="1:8" x14ac:dyDescent="0.3">
      <c r="A465" s="31"/>
      <c r="B465" s="39"/>
      <c r="C465" s="32"/>
      <c r="D465" s="32"/>
      <c r="E465" s="32"/>
      <c r="F465" s="32"/>
      <c r="G465" s="32"/>
      <c r="H465" s="52"/>
    </row>
    <row r="466" spans="1:8" x14ac:dyDescent="0.3">
      <c r="A466" s="31"/>
      <c r="B466" s="39"/>
      <c r="C466" s="32"/>
      <c r="D466" s="32"/>
      <c r="E466" s="32"/>
      <c r="F466" s="32"/>
      <c r="G466" s="32"/>
      <c r="H466" s="52"/>
    </row>
    <row r="467" spans="1:8" x14ac:dyDescent="0.3">
      <c r="A467" s="31"/>
      <c r="B467" s="39"/>
      <c r="C467" s="32"/>
      <c r="D467" s="32"/>
      <c r="E467" s="32"/>
      <c r="F467" s="32"/>
      <c r="G467" s="32"/>
      <c r="H467" s="52"/>
    </row>
    <row r="468" spans="1:8" x14ac:dyDescent="0.3">
      <c r="A468" s="31"/>
      <c r="B468" s="39"/>
      <c r="C468" s="32"/>
      <c r="D468" s="32"/>
      <c r="E468" s="32"/>
      <c r="F468" s="32"/>
      <c r="G468" s="32"/>
      <c r="H468" s="52"/>
    </row>
    <row r="469" spans="1:8" x14ac:dyDescent="0.3">
      <c r="A469" s="31"/>
      <c r="B469" s="39"/>
      <c r="C469" s="32"/>
      <c r="D469" s="32"/>
      <c r="E469" s="32"/>
      <c r="F469" s="32"/>
      <c r="G469" s="32"/>
      <c r="H469" s="52"/>
    </row>
    <row r="470" spans="1:8" x14ac:dyDescent="0.3">
      <c r="A470" s="31"/>
      <c r="B470" s="39"/>
      <c r="C470" s="32"/>
      <c r="D470" s="32"/>
      <c r="E470" s="32"/>
      <c r="F470" s="32"/>
      <c r="G470" s="32"/>
      <c r="H470" s="52"/>
    </row>
    <row r="471" spans="1:8" x14ac:dyDescent="0.3">
      <c r="A471" s="31"/>
      <c r="B471" s="39"/>
      <c r="C471" s="32"/>
      <c r="D471" s="32"/>
      <c r="E471" s="32"/>
      <c r="F471" s="32"/>
      <c r="G471" s="32"/>
      <c r="H471" s="52"/>
    </row>
    <row r="472" spans="1:8" x14ac:dyDescent="0.3">
      <c r="A472" s="31"/>
      <c r="B472" s="39"/>
      <c r="C472" s="32"/>
      <c r="D472" s="32"/>
      <c r="E472" s="32"/>
      <c r="F472" s="32"/>
      <c r="G472" s="32"/>
      <c r="H472" s="52"/>
    </row>
    <row r="473" spans="1:8" x14ac:dyDescent="0.3">
      <c r="A473" s="31"/>
      <c r="B473" s="39"/>
      <c r="C473" s="32"/>
      <c r="D473" s="32"/>
      <c r="E473" s="32"/>
      <c r="F473" s="32"/>
      <c r="G473" s="32"/>
      <c r="H473" s="52"/>
    </row>
    <row r="474" spans="1:8" x14ac:dyDescent="0.3">
      <c r="A474" s="31"/>
      <c r="B474" s="39"/>
      <c r="C474" s="32"/>
      <c r="D474" s="32"/>
      <c r="E474" s="32"/>
      <c r="F474" s="32"/>
      <c r="G474" s="32"/>
      <c r="H474" s="52"/>
    </row>
    <row r="475" spans="1:8" x14ac:dyDescent="0.3">
      <c r="A475" s="31"/>
      <c r="B475" s="39"/>
      <c r="C475" s="32"/>
      <c r="D475" s="32"/>
      <c r="E475" s="32"/>
      <c r="F475" s="32"/>
      <c r="G475" s="32"/>
      <c r="H475" s="52"/>
    </row>
    <row r="476" spans="1:8" x14ac:dyDescent="0.3">
      <c r="A476" s="31"/>
      <c r="B476" s="39"/>
      <c r="C476" s="32"/>
      <c r="D476" s="32"/>
      <c r="E476" s="32"/>
      <c r="F476" s="32"/>
      <c r="G476" s="32"/>
      <c r="H476" s="52"/>
    </row>
    <row r="477" spans="1:8" x14ac:dyDescent="0.3">
      <c r="A477" s="31"/>
      <c r="B477" s="39"/>
      <c r="C477" s="32"/>
      <c r="D477" s="32"/>
      <c r="E477" s="32"/>
      <c r="F477" s="32"/>
      <c r="G477" s="32"/>
      <c r="H477" s="52"/>
    </row>
    <row r="478" spans="1:8" x14ac:dyDescent="0.3">
      <c r="A478" s="31"/>
      <c r="B478" s="39"/>
      <c r="C478" s="32"/>
      <c r="D478" s="32"/>
      <c r="E478" s="32"/>
      <c r="F478" s="32"/>
      <c r="G478" s="32"/>
      <c r="H478" s="52"/>
    </row>
    <row r="479" spans="1:8" x14ac:dyDescent="0.3">
      <c r="A479" s="31"/>
      <c r="B479" s="39"/>
      <c r="C479" s="32"/>
      <c r="D479" s="32"/>
      <c r="E479" s="32"/>
      <c r="F479" s="32"/>
      <c r="G479" s="32"/>
      <c r="H479" s="52"/>
    </row>
    <row r="480" spans="1:8" x14ac:dyDescent="0.3">
      <c r="A480" s="31"/>
      <c r="B480" s="39"/>
      <c r="C480" s="32"/>
      <c r="D480" s="32"/>
      <c r="E480" s="32"/>
      <c r="F480" s="32"/>
      <c r="G480" s="32"/>
      <c r="H480" s="52"/>
    </row>
    <row r="481" spans="1:8" x14ac:dyDescent="0.3">
      <c r="A481" s="31"/>
      <c r="B481" s="39"/>
      <c r="C481" s="32"/>
      <c r="D481" s="32"/>
      <c r="E481" s="32"/>
      <c r="F481" s="32"/>
      <c r="G481" s="32"/>
      <c r="H481" s="52"/>
    </row>
    <row r="482" spans="1:8" x14ac:dyDescent="0.3">
      <c r="A482" s="31"/>
      <c r="B482" s="39"/>
      <c r="C482" s="32"/>
      <c r="D482" s="32"/>
      <c r="E482" s="32"/>
      <c r="F482" s="32"/>
      <c r="G482" s="32"/>
      <c r="H482" s="52"/>
    </row>
    <row r="483" spans="1:8" x14ac:dyDescent="0.3">
      <c r="A483" s="31"/>
      <c r="B483" s="39"/>
      <c r="C483" s="32"/>
      <c r="D483" s="32"/>
      <c r="E483" s="32"/>
      <c r="F483" s="32"/>
      <c r="G483" s="32"/>
      <c r="H483" s="52"/>
    </row>
    <row r="484" spans="1:8" x14ac:dyDescent="0.3">
      <c r="A484" s="31"/>
      <c r="B484" s="39"/>
      <c r="C484" s="32"/>
      <c r="D484" s="32"/>
      <c r="E484" s="32"/>
      <c r="F484" s="32"/>
      <c r="G484" s="32"/>
      <c r="H484" s="52"/>
    </row>
    <row r="485" spans="1:8" x14ac:dyDescent="0.3">
      <c r="A485" s="31"/>
      <c r="B485" s="39"/>
      <c r="C485" s="32"/>
      <c r="D485" s="32"/>
      <c r="E485" s="32"/>
      <c r="F485" s="32"/>
      <c r="G485" s="32"/>
      <c r="H485" s="52"/>
    </row>
    <row r="486" spans="1:8" x14ac:dyDescent="0.3">
      <c r="A486" s="31"/>
      <c r="B486" s="39"/>
      <c r="C486" s="32"/>
      <c r="D486" s="32"/>
      <c r="E486" s="32"/>
      <c r="F486" s="32"/>
      <c r="G486" s="32"/>
      <c r="H486" s="52"/>
    </row>
    <row r="487" spans="1:8" x14ac:dyDescent="0.3">
      <c r="A487" s="31"/>
      <c r="B487" s="39"/>
      <c r="C487" s="32"/>
      <c r="D487" s="32"/>
      <c r="E487" s="32"/>
      <c r="F487" s="32"/>
      <c r="G487" s="32"/>
      <c r="H487" s="52"/>
    </row>
    <row r="488" spans="1:8" x14ac:dyDescent="0.3">
      <c r="A488" s="31"/>
      <c r="B488" s="39"/>
      <c r="C488" s="32"/>
      <c r="D488" s="32"/>
      <c r="E488" s="32"/>
      <c r="F488" s="32"/>
      <c r="G488" s="32"/>
      <c r="H488" s="52"/>
    </row>
    <row r="489" spans="1:8" x14ac:dyDescent="0.3">
      <c r="A489" s="31"/>
      <c r="B489" s="39"/>
      <c r="C489" s="32"/>
      <c r="D489" s="32"/>
      <c r="E489" s="32"/>
      <c r="F489" s="32"/>
      <c r="G489" s="32"/>
      <c r="H489" s="52"/>
    </row>
    <row r="490" spans="1:8" x14ac:dyDescent="0.3">
      <c r="A490" s="31"/>
      <c r="B490" s="39"/>
      <c r="C490" s="32"/>
      <c r="D490" s="32"/>
      <c r="E490" s="32"/>
      <c r="F490" s="32"/>
      <c r="G490" s="32"/>
      <c r="H490" s="52"/>
    </row>
    <row r="491" spans="1:8" x14ac:dyDescent="0.3">
      <c r="A491" s="31"/>
      <c r="B491" s="39"/>
      <c r="C491" s="32"/>
      <c r="D491" s="32"/>
      <c r="E491" s="32"/>
      <c r="F491" s="32"/>
      <c r="G491" s="32"/>
      <c r="H491" s="52"/>
    </row>
    <row r="492" spans="1:8" x14ac:dyDescent="0.3">
      <c r="A492" s="31"/>
      <c r="B492" s="39"/>
      <c r="C492" s="32"/>
      <c r="D492" s="32"/>
      <c r="E492" s="32"/>
      <c r="F492" s="32"/>
      <c r="G492" s="32"/>
      <c r="H492" s="52"/>
    </row>
    <row r="493" spans="1:8" x14ac:dyDescent="0.3">
      <c r="A493" s="31"/>
      <c r="B493" s="39"/>
      <c r="C493" s="32"/>
      <c r="D493" s="32"/>
      <c r="E493" s="32"/>
      <c r="F493" s="32"/>
      <c r="G493" s="32"/>
      <c r="H493" s="52"/>
    </row>
    <row r="494" spans="1:8" x14ac:dyDescent="0.3">
      <c r="A494" s="31"/>
      <c r="B494" s="39"/>
      <c r="C494" s="32"/>
      <c r="D494" s="32"/>
      <c r="E494" s="32"/>
      <c r="F494" s="32"/>
      <c r="G494" s="32"/>
      <c r="H494" s="52"/>
    </row>
    <row r="495" spans="1:8" x14ac:dyDescent="0.3">
      <c r="A495" s="31"/>
      <c r="B495" s="39"/>
      <c r="C495" s="32"/>
      <c r="D495" s="32"/>
      <c r="E495" s="32"/>
      <c r="F495" s="32"/>
      <c r="G495" s="32"/>
      <c r="H495" s="52"/>
    </row>
    <row r="496" spans="1:8" x14ac:dyDescent="0.3">
      <c r="A496" s="31"/>
      <c r="B496" s="39"/>
      <c r="C496" s="32"/>
      <c r="D496" s="32"/>
      <c r="E496" s="32"/>
      <c r="F496" s="32"/>
      <c r="G496" s="32"/>
      <c r="H496" s="52"/>
    </row>
    <row r="497" spans="1:8" x14ac:dyDescent="0.3">
      <c r="A497" s="31"/>
      <c r="B497" s="39"/>
      <c r="C497" s="32"/>
      <c r="D497" s="32"/>
      <c r="E497" s="32"/>
      <c r="F497" s="32"/>
      <c r="G497" s="32"/>
      <c r="H497" s="52"/>
    </row>
    <row r="498" spans="1:8" x14ac:dyDescent="0.3">
      <c r="A498" s="31"/>
      <c r="B498" s="39"/>
      <c r="C498" s="32"/>
      <c r="D498" s="32"/>
      <c r="E498" s="32"/>
      <c r="F498" s="32"/>
      <c r="G498" s="32"/>
      <c r="H498" s="52"/>
    </row>
    <row r="499" spans="1:8" x14ac:dyDescent="0.3">
      <c r="A499" s="31"/>
      <c r="B499" s="39"/>
      <c r="C499" s="32"/>
      <c r="D499" s="32"/>
      <c r="E499" s="32"/>
      <c r="F499" s="32"/>
      <c r="G499" s="32"/>
      <c r="H499" s="52"/>
    </row>
    <row r="500" spans="1:8" x14ac:dyDescent="0.3">
      <c r="A500" s="31"/>
      <c r="B500" s="39"/>
      <c r="C500" s="32"/>
      <c r="D500" s="32"/>
      <c r="E500" s="32"/>
      <c r="F500" s="32"/>
      <c r="G500" s="32"/>
      <c r="H500" s="52"/>
    </row>
    <row r="501" spans="1:8" x14ac:dyDescent="0.3">
      <c r="A501" s="31"/>
      <c r="B501" s="39"/>
      <c r="C501" s="32"/>
      <c r="D501" s="32"/>
      <c r="E501" s="32"/>
      <c r="F501" s="32"/>
      <c r="G501" s="32"/>
      <c r="H501" s="52"/>
    </row>
    <row r="502" spans="1:8" x14ac:dyDescent="0.3">
      <c r="A502" s="31"/>
      <c r="B502" s="39"/>
      <c r="C502" s="32"/>
      <c r="D502" s="32"/>
      <c r="E502" s="32"/>
      <c r="F502" s="32"/>
      <c r="G502" s="32"/>
      <c r="H502" s="52"/>
    </row>
    <row r="503" spans="1:8" x14ac:dyDescent="0.3">
      <c r="A503" s="31"/>
      <c r="B503" s="39"/>
      <c r="C503" s="32"/>
      <c r="D503" s="32"/>
      <c r="E503" s="32"/>
      <c r="F503" s="32"/>
      <c r="G503" s="32"/>
      <c r="H503" s="52"/>
    </row>
    <row r="504" spans="1:8" x14ac:dyDescent="0.3">
      <c r="A504" s="31"/>
      <c r="B504" s="39"/>
      <c r="C504" s="32"/>
      <c r="D504" s="32"/>
      <c r="E504" s="32"/>
      <c r="F504" s="32"/>
      <c r="G504" s="32"/>
      <c r="H504" s="52"/>
    </row>
    <row r="505" spans="1:8" x14ac:dyDescent="0.3">
      <c r="A505" s="31"/>
      <c r="B505" s="39"/>
      <c r="C505" s="32"/>
      <c r="D505" s="32"/>
      <c r="E505" s="32"/>
      <c r="F505" s="32"/>
      <c r="G505" s="32"/>
      <c r="H505" s="52"/>
    </row>
    <row r="506" spans="1:8" x14ac:dyDescent="0.3">
      <c r="A506" s="31"/>
      <c r="B506" s="39"/>
      <c r="C506" s="32"/>
      <c r="D506" s="32"/>
      <c r="E506" s="32"/>
      <c r="F506" s="32"/>
      <c r="G506" s="32"/>
      <c r="H506" s="52"/>
    </row>
    <row r="507" spans="1:8" x14ac:dyDescent="0.3">
      <c r="A507" s="31"/>
      <c r="B507" s="39"/>
      <c r="C507" s="32"/>
      <c r="D507" s="32"/>
      <c r="E507" s="32"/>
      <c r="F507" s="32"/>
      <c r="G507" s="32"/>
      <c r="H507" s="52"/>
    </row>
    <row r="508" spans="1:8" x14ac:dyDescent="0.3">
      <c r="A508" s="31"/>
      <c r="B508" s="39"/>
      <c r="C508" s="32"/>
      <c r="D508" s="32"/>
      <c r="E508" s="32"/>
      <c r="F508" s="32"/>
      <c r="G508" s="32"/>
      <c r="H508" s="52"/>
    </row>
    <row r="509" spans="1:8" x14ac:dyDescent="0.3">
      <c r="A509" s="31"/>
      <c r="B509" s="39"/>
      <c r="C509" s="32"/>
      <c r="D509" s="32"/>
      <c r="E509" s="32"/>
      <c r="F509" s="32"/>
      <c r="G509" s="32"/>
      <c r="H509" s="52"/>
    </row>
    <row r="510" spans="1:8" x14ac:dyDescent="0.3">
      <c r="A510" s="31"/>
      <c r="B510" s="39"/>
      <c r="C510" s="32"/>
      <c r="D510" s="32"/>
      <c r="E510" s="32"/>
      <c r="F510" s="32"/>
      <c r="G510" s="32"/>
      <c r="H510" s="52"/>
    </row>
    <row r="511" spans="1:8" x14ac:dyDescent="0.3">
      <c r="A511" s="31"/>
      <c r="B511" s="39"/>
      <c r="C511" s="32"/>
      <c r="D511" s="32"/>
      <c r="E511" s="32"/>
      <c r="F511" s="32"/>
      <c r="G511" s="32"/>
      <c r="H511" s="52"/>
    </row>
    <row r="512" spans="1:8" x14ac:dyDescent="0.3">
      <c r="A512" s="31"/>
      <c r="B512" s="39"/>
      <c r="C512" s="32"/>
      <c r="D512" s="32"/>
      <c r="E512" s="32"/>
      <c r="F512" s="32"/>
      <c r="G512" s="32"/>
      <c r="H512" s="52"/>
    </row>
    <row r="513" spans="1:8" x14ac:dyDescent="0.3">
      <c r="A513" s="31"/>
      <c r="B513" s="39"/>
      <c r="C513" s="32"/>
      <c r="D513" s="32"/>
      <c r="E513" s="32"/>
      <c r="F513" s="32"/>
      <c r="G513" s="32"/>
      <c r="H513" s="52"/>
    </row>
    <row r="514" spans="1:8" x14ac:dyDescent="0.3">
      <c r="A514" s="31"/>
      <c r="B514" s="39"/>
      <c r="C514" s="32"/>
      <c r="D514" s="32"/>
      <c r="E514" s="32"/>
      <c r="F514" s="32"/>
      <c r="G514" s="32"/>
      <c r="H514" s="52"/>
    </row>
    <row r="515" spans="1:8" x14ac:dyDescent="0.3">
      <c r="A515" s="31"/>
      <c r="B515" s="39"/>
      <c r="C515" s="32"/>
      <c r="D515" s="32"/>
      <c r="E515" s="32"/>
      <c r="F515" s="32"/>
      <c r="G515" s="32"/>
      <c r="H515" s="52"/>
    </row>
    <row r="516" spans="1:8" x14ac:dyDescent="0.3">
      <c r="A516" s="31"/>
      <c r="B516" s="39"/>
      <c r="C516" s="32"/>
      <c r="D516" s="32"/>
      <c r="E516" s="32"/>
      <c r="F516" s="32"/>
      <c r="G516" s="32"/>
      <c r="H516" s="52"/>
    </row>
    <row r="517" spans="1:8" x14ac:dyDescent="0.3">
      <c r="A517" s="31"/>
      <c r="B517" s="39"/>
      <c r="C517" s="32"/>
      <c r="D517" s="32"/>
      <c r="E517" s="32"/>
      <c r="F517" s="32"/>
      <c r="G517" s="32"/>
      <c r="H517" s="52"/>
    </row>
    <row r="518" spans="1:8" x14ac:dyDescent="0.3">
      <c r="A518" s="31"/>
      <c r="B518" s="39"/>
      <c r="C518" s="32"/>
      <c r="D518" s="32"/>
      <c r="E518" s="32"/>
      <c r="F518" s="32"/>
      <c r="G518" s="32"/>
      <c r="H518" s="52"/>
    </row>
    <row r="519" spans="1:8" x14ac:dyDescent="0.3">
      <c r="A519" s="31"/>
      <c r="B519" s="39"/>
      <c r="C519" s="32"/>
      <c r="D519" s="32"/>
      <c r="E519" s="32"/>
      <c r="F519" s="32"/>
      <c r="G519" s="32"/>
      <c r="H519" s="52"/>
    </row>
    <row r="520" spans="1:8" x14ac:dyDescent="0.3">
      <c r="A520" s="31"/>
      <c r="B520" s="39"/>
      <c r="C520" s="32"/>
      <c r="D520" s="32"/>
      <c r="E520" s="32"/>
      <c r="F520" s="32"/>
      <c r="G520" s="32"/>
      <c r="H520" s="52"/>
    </row>
    <row r="521" spans="1:8" x14ac:dyDescent="0.3">
      <c r="A521" s="31"/>
      <c r="B521" s="39"/>
      <c r="C521" s="32"/>
      <c r="D521" s="32"/>
      <c r="E521" s="32"/>
      <c r="F521" s="32"/>
      <c r="G521" s="32"/>
      <c r="H521" s="52"/>
    </row>
    <row r="522" spans="1:8" x14ac:dyDescent="0.3">
      <c r="A522" s="31"/>
      <c r="B522" s="39"/>
      <c r="C522" s="32"/>
      <c r="D522" s="32"/>
      <c r="E522" s="32"/>
      <c r="F522" s="32"/>
      <c r="G522" s="32"/>
      <c r="H522" s="52"/>
    </row>
    <row r="523" spans="1:8" x14ac:dyDescent="0.3">
      <c r="A523" s="31"/>
      <c r="B523" s="39"/>
      <c r="C523" s="32"/>
      <c r="D523" s="32"/>
      <c r="E523" s="32"/>
      <c r="F523" s="32"/>
      <c r="G523" s="32"/>
      <c r="H523" s="52"/>
    </row>
    <row r="524" spans="1:8" x14ac:dyDescent="0.3">
      <c r="A524" s="31"/>
      <c r="B524" s="39"/>
      <c r="C524" s="32"/>
      <c r="D524" s="32"/>
      <c r="E524" s="32"/>
      <c r="F524" s="32"/>
      <c r="G524" s="32"/>
      <c r="H524" s="52"/>
    </row>
    <row r="525" spans="1:8" x14ac:dyDescent="0.3">
      <c r="A525" s="31"/>
      <c r="B525" s="39"/>
      <c r="C525" s="32"/>
      <c r="D525" s="32"/>
      <c r="E525" s="32"/>
      <c r="F525" s="32"/>
      <c r="G525" s="32"/>
      <c r="H525" s="52"/>
    </row>
    <row r="526" spans="1:8" x14ac:dyDescent="0.3">
      <c r="A526" s="31"/>
      <c r="B526" s="39"/>
      <c r="C526" s="32"/>
      <c r="D526" s="32"/>
      <c r="E526" s="32"/>
      <c r="F526" s="32"/>
      <c r="G526" s="32"/>
      <c r="H526" s="52"/>
    </row>
    <row r="527" spans="1:8" x14ac:dyDescent="0.3">
      <c r="A527" s="31"/>
      <c r="B527" s="39"/>
      <c r="C527" s="32"/>
      <c r="D527" s="32"/>
      <c r="E527" s="32"/>
      <c r="F527" s="32"/>
      <c r="G527" s="32"/>
      <c r="H527" s="52"/>
    </row>
    <row r="528" spans="1:8" x14ac:dyDescent="0.3">
      <c r="A528" s="31"/>
      <c r="B528" s="39"/>
      <c r="C528" s="32"/>
      <c r="D528" s="32"/>
      <c r="E528" s="32"/>
      <c r="F528" s="32"/>
      <c r="G528" s="32"/>
      <c r="H528" s="52"/>
    </row>
    <row r="529" spans="1:8" x14ac:dyDescent="0.3">
      <c r="A529" s="31"/>
      <c r="B529" s="39"/>
      <c r="C529" s="32"/>
      <c r="D529" s="32"/>
      <c r="E529" s="32"/>
      <c r="F529" s="32"/>
      <c r="G529" s="32"/>
      <c r="H529" s="52"/>
    </row>
    <row r="530" spans="1:8" x14ac:dyDescent="0.3">
      <c r="A530" s="31"/>
      <c r="B530" s="39"/>
      <c r="C530" s="32"/>
      <c r="D530" s="32"/>
      <c r="E530" s="32"/>
      <c r="F530" s="32"/>
      <c r="G530" s="32"/>
      <c r="H530" s="52"/>
    </row>
    <row r="531" spans="1:8" x14ac:dyDescent="0.3">
      <c r="A531" s="31"/>
      <c r="B531" s="39"/>
      <c r="C531" s="32"/>
      <c r="D531" s="32"/>
      <c r="E531" s="32"/>
      <c r="F531" s="32"/>
      <c r="G531" s="32"/>
      <c r="H531" s="52"/>
    </row>
    <row r="532" spans="1:8" x14ac:dyDescent="0.3">
      <c r="A532" s="31"/>
      <c r="B532" s="39"/>
      <c r="C532" s="32"/>
      <c r="D532" s="32"/>
      <c r="E532" s="32"/>
      <c r="F532" s="32"/>
      <c r="G532" s="32"/>
      <c r="H532" s="52"/>
    </row>
    <row r="533" spans="1:8" x14ac:dyDescent="0.3">
      <c r="A533" s="31"/>
      <c r="B533" s="39"/>
      <c r="C533" s="32"/>
      <c r="D533" s="32"/>
      <c r="E533" s="32"/>
      <c r="F533" s="32"/>
      <c r="G533" s="32"/>
      <c r="H533" s="52"/>
    </row>
    <row r="534" spans="1:8" x14ac:dyDescent="0.3">
      <c r="A534" s="31"/>
      <c r="B534" s="39"/>
      <c r="C534" s="32"/>
      <c r="D534" s="32"/>
      <c r="E534" s="32"/>
      <c r="F534" s="32"/>
      <c r="G534" s="32"/>
      <c r="H534" s="52"/>
    </row>
    <row r="535" spans="1:8" x14ac:dyDescent="0.3">
      <c r="A535" s="31"/>
      <c r="B535" s="39"/>
      <c r="C535" s="32"/>
      <c r="D535" s="32"/>
      <c r="E535" s="32"/>
      <c r="F535" s="32"/>
      <c r="G535" s="32"/>
      <c r="H535" s="52"/>
    </row>
    <row r="536" spans="1:8" x14ac:dyDescent="0.3">
      <c r="A536" s="31"/>
      <c r="B536" s="39"/>
      <c r="C536" s="32"/>
      <c r="D536" s="32"/>
      <c r="E536" s="32"/>
      <c r="F536" s="32"/>
      <c r="G536" s="32"/>
      <c r="H536" s="52"/>
    </row>
    <row r="537" spans="1:8" x14ac:dyDescent="0.3">
      <c r="A537" s="31"/>
      <c r="B537" s="39"/>
      <c r="C537" s="32"/>
      <c r="D537" s="32"/>
      <c r="E537" s="32"/>
      <c r="F537" s="32"/>
      <c r="G537" s="32"/>
      <c r="H537" s="52"/>
    </row>
    <row r="538" spans="1:8" x14ac:dyDescent="0.3">
      <c r="A538" s="31"/>
      <c r="B538" s="39"/>
      <c r="C538" s="32"/>
      <c r="D538" s="32"/>
      <c r="E538" s="32"/>
      <c r="F538" s="32"/>
      <c r="G538" s="32"/>
      <c r="H538" s="52"/>
    </row>
    <row r="539" spans="1:8" x14ac:dyDescent="0.3">
      <c r="A539" s="31"/>
      <c r="B539" s="39"/>
      <c r="C539" s="32"/>
      <c r="D539" s="32"/>
      <c r="E539" s="32"/>
      <c r="F539" s="32"/>
      <c r="G539" s="32"/>
      <c r="H539" s="52"/>
    </row>
    <row r="540" spans="1:8" x14ac:dyDescent="0.3">
      <c r="A540" s="31"/>
      <c r="B540" s="39"/>
      <c r="C540" s="32"/>
      <c r="D540" s="32"/>
      <c r="E540" s="32"/>
      <c r="F540" s="32"/>
      <c r="G540" s="32"/>
      <c r="H540" s="52"/>
    </row>
    <row r="541" spans="1:8" x14ac:dyDescent="0.3">
      <c r="A541" s="31"/>
      <c r="B541" s="39"/>
      <c r="C541" s="32"/>
      <c r="D541" s="32"/>
      <c r="E541" s="32"/>
      <c r="F541" s="32"/>
      <c r="G541" s="32"/>
      <c r="H541" s="52"/>
    </row>
    <row r="542" spans="1:8" x14ac:dyDescent="0.3">
      <c r="A542" s="31"/>
      <c r="B542" s="39"/>
      <c r="C542" s="32"/>
      <c r="D542" s="32"/>
      <c r="E542" s="32"/>
      <c r="F542" s="32"/>
      <c r="G542" s="32"/>
      <c r="H542" s="52"/>
    </row>
    <row r="543" spans="1:8" x14ac:dyDescent="0.3">
      <c r="A543" s="31"/>
      <c r="B543" s="39"/>
      <c r="C543" s="32"/>
      <c r="D543" s="32"/>
      <c r="E543" s="32"/>
      <c r="F543" s="32"/>
      <c r="G543" s="32"/>
      <c r="H543" s="52"/>
    </row>
    <row r="544" spans="1:8" x14ac:dyDescent="0.3">
      <c r="A544" s="31"/>
      <c r="B544" s="39"/>
      <c r="C544" s="32"/>
      <c r="D544" s="32"/>
      <c r="E544" s="32"/>
      <c r="F544" s="32"/>
      <c r="G544" s="32"/>
      <c r="H544" s="52"/>
    </row>
    <row r="545" spans="1:8" x14ac:dyDescent="0.3">
      <c r="A545" s="31"/>
      <c r="B545" s="39"/>
      <c r="C545" s="32"/>
      <c r="D545" s="32"/>
      <c r="E545" s="32"/>
      <c r="F545" s="32"/>
      <c r="G545" s="32"/>
      <c r="H545" s="52"/>
    </row>
    <row r="546" spans="1:8" x14ac:dyDescent="0.3">
      <c r="A546" s="31"/>
      <c r="B546" s="39"/>
      <c r="C546" s="32"/>
      <c r="D546" s="32"/>
      <c r="E546" s="32"/>
      <c r="F546" s="32"/>
      <c r="G546" s="32"/>
      <c r="H546" s="52"/>
    </row>
    <row r="547" spans="1:8" x14ac:dyDescent="0.3">
      <c r="A547" s="31"/>
      <c r="B547" s="39"/>
      <c r="C547" s="32"/>
      <c r="D547" s="32"/>
      <c r="E547" s="32"/>
      <c r="F547" s="32"/>
      <c r="G547" s="32"/>
      <c r="H547" s="52"/>
    </row>
    <row r="548" spans="1:8" x14ac:dyDescent="0.3">
      <c r="A548" s="31"/>
      <c r="B548" s="39"/>
      <c r="C548" s="32"/>
      <c r="D548" s="32"/>
      <c r="E548" s="32"/>
      <c r="F548" s="32"/>
      <c r="G548" s="32"/>
      <c r="H548" s="52"/>
    </row>
    <row r="549" spans="1:8" x14ac:dyDescent="0.3">
      <c r="A549" s="31"/>
      <c r="B549" s="39"/>
      <c r="C549" s="32"/>
      <c r="D549" s="32"/>
      <c r="E549" s="32"/>
      <c r="F549" s="32"/>
      <c r="G549" s="32"/>
      <c r="H549" s="52"/>
    </row>
    <row r="550" spans="1:8" x14ac:dyDescent="0.3">
      <c r="A550" s="31"/>
      <c r="B550" s="39"/>
      <c r="C550" s="32"/>
      <c r="D550" s="32"/>
      <c r="E550" s="32"/>
      <c r="F550" s="32"/>
      <c r="G550" s="32"/>
      <c r="H550" s="52"/>
    </row>
    <row r="551" spans="1:8" x14ac:dyDescent="0.3">
      <c r="A551" s="31"/>
      <c r="B551" s="39"/>
      <c r="C551" s="32"/>
      <c r="D551" s="32"/>
      <c r="E551" s="32"/>
      <c r="F551" s="32"/>
      <c r="G551" s="32"/>
      <c r="H551" s="52"/>
    </row>
    <row r="552" spans="1:8" x14ac:dyDescent="0.3">
      <c r="A552" s="31"/>
      <c r="B552" s="39"/>
      <c r="C552" s="32"/>
      <c r="D552" s="32"/>
      <c r="E552" s="32"/>
      <c r="F552" s="32"/>
      <c r="G552" s="32"/>
      <c r="H552" s="52"/>
    </row>
    <row r="553" spans="1:8" x14ac:dyDescent="0.3">
      <c r="A553" s="31"/>
      <c r="B553" s="39"/>
      <c r="C553" s="32"/>
      <c r="D553" s="32"/>
      <c r="E553" s="32"/>
      <c r="F553" s="32"/>
      <c r="G553" s="32"/>
      <c r="H553" s="52"/>
    </row>
    <row r="554" spans="1:8" x14ac:dyDescent="0.3">
      <c r="A554" s="31"/>
      <c r="B554" s="39"/>
      <c r="C554" s="32"/>
      <c r="D554" s="32"/>
      <c r="E554" s="32"/>
      <c r="F554" s="32"/>
      <c r="G554" s="32"/>
      <c r="H554" s="52"/>
    </row>
    <row r="555" spans="1:8" x14ac:dyDescent="0.3">
      <c r="A555" s="31"/>
      <c r="B555" s="39"/>
      <c r="C555" s="32"/>
      <c r="D555" s="32"/>
      <c r="E555" s="32"/>
      <c r="F555" s="32"/>
      <c r="G555" s="32"/>
      <c r="H555" s="52"/>
    </row>
    <row r="556" spans="1:8" x14ac:dyDescent="0.3">
      <c r="A556" s="31"/>
      <c r="B556" s="39"/>
      <c r="C556" s="32"/>
      <c r="D556" s="32"/>
      <c r="E556" s="32"/>
      <c r="F556" s="32"/>
      <c r="G556" s="32"/>
      <c r="H556" s="52"/>
    </row>
    <row r="557" spans="1:8" x14ac:dyDescent="0.3">
      <c r="A557" s="31"/>
      <c r="B557" s="39"/>
      <c r="C557" s="32"/>
      <c r="D557" s="32"/>
      <c r="E557" s="32"/>
      <c r="F557" s="32"/>
      <c r="G557" s="32"/>
      <c r="H557" s="52"/>
    </row>
    <row r="558" spans="1:8" x14ac:dyDescent="0.3">
      <c r="A558" s="31"/>
      <c r="B558" s="39"/>
      <c r="C558" s="32"/>
      <c r="D558" s="32"/>
      <c r="E558" s="32"/>
      <c r="F558" s="32"/>
      <c r="G558" s="32"/>
      <c r="H558" s="52"/>
    </row>
    <row r="559" spans="1:8" x14ac:dyDescent="0.3">
      <c r="A559" s="31"/>
      <c r="B559" s="39"/>
      <c r="C559" s="32"/>
      <c r="D559" s="32"/>
      <c r="E559" s="32"/>
      <c r="F559" s="32"/>
      <c r="G559" s="32"/>
      <c r="H559" s="52"/>
    </row>
    <row r="560" spans="1:8" x14ac:dyDescent="0.3">
      <c r="A560" s="31"/>
      <c r="B560" s="39"/>
      <c r="C560" s="32"/>
      <c r="D560" s="32"/>
      <c r="E560" s="32"/>
      <c r="F560" s="32"/>
      <c r="G560" s="32"/>
      <c r="H560" s="52"/>
    </row>
    <row r="561" spans="1:8" x14ac:dyDescent="0.3">
      <c r="A561" s="31"/>
      <c r="B561" s="39"/>
      <c r="C561" s="32"/>
      <c r="D561" s="32"/>
      <c r="E561" s="32"/>
      <c r="F561" s="32"/>
      <c r="G561" s="32"/>
      <c r="H561" s="52"/>
    </row>
    <row r="562" spans="1:8" x14ac:dyDescent="0.3">
      <c r="A562" s="31"/>
      <c r="B562" s="39"/>
      <c r="C562" s="32"/>
      <c r="D562" s="32"/>
      <c r="E562" s="32"/>
      <c r="F562" s="32"/>
      <c r="G562" s="32"/>
      <c r="H562" s="52"/>
    </row>
    <row r="563" spans="1:8" x14ac:dyDescent="0.3">
      <c r="A563" s="31"/>
      <c r="B563" s="39"/>
      <c r="C563" s="32"/>
      <c r="D563" s="32"/>
      <c r="E563" s="32"/>
      <c r="F563" s="32"/>
      <c r="G563" s="32"/>
      <c r="H563" s="52"/>
    </row>
    <row r="564" spans="1:8" x14ac:dyDescent="0.3">
      <c r="A564" s="31"/>
      <c r="B564" s="39"/>
      <c r="C564" s="32"/>
      <c r="D564" s="32"/>
      <c r="E564" s="32"/>
      <c r="F564" s="32"/>
      <c r="G564" s="32"/>
      <c r="H564" s="52"/>
    </row>
    <row r="565" spans="1:8" x14ac:dyDescent="0.3">
      <c r="A565" s="31"/>
      <c r="B565" s="39"/>
      <c r="C565" s="32"/>
      <c r="D565" s="32"/>
      <c r="E565" s="32"/>
      <c r="F565" s="32"/>
      <c r="G565" s="32"/>
      <c r="H565" s="52"/>
    </row>
    <row r="566" spans="1:8" x14ac:dyDescent="0.3">
      <c r="A566" s="31"/>
      <c r="B566" s="39"/>
      <c r="C566" s="32"/>
      <c r="D566" s="32"/>
      <c r="E566" s="32"/>
      <c r="F566" s="32"/>
      <c r="G566" s="32"/>
      <c r="H566" s="52"/>
    </row>
    <row r="567" spans="1:8" x14ac:dyDescent="0.3">
      <c r="A567" s="31"/>
      <c r="B567" s="39"/>
      <c r="C567" s="32"/>
      <c r="D567" s="32"/>
      <c r="E567" s="32"/>
      <c r="F567" s="32"/>
      <c r="G567" s="32"/>
      <c r="H567" s="52"/>
    </row>
    <row r="568" spans="1:8" x14ac:dyDescent="0.3">
      <c r="A568" s="31"/>
      <c r="B568" s="39"/>
      <c r="C568" s="32"/>
      <c r="D568" s="32"/>
      <c r="E568" s="32"/>
      <c r="F568" s="32"/>
      <c r="G568" s="32"/>
      <c r="H568" s="52"/>
    </row>
    <row r="569" spans="1:8" x14ac:dyDescent="0.3">
      <c r="A569" s="31"/>
      <c r="B569" s="39"/>
      <c r="C569" s="32"/>
      <c r="D569" s="32"/>
      <c r="E569" s="32"/>
      <c r="F569" s="32"/>
      <c r="G569" s="32"/>
      <c r="H569" s="52"/>
    </row>
    <row r="570" spans="1:8" x14ac:dyDescent="0.3">
      <c r="A570" s="31"/>
      <c r="B570" s="39"/>
      <c r="C570" s="32"/>
      <c r="D570" s="32"/>
      <c r="E570" s="32"/>
      <c r="F570" s="32"/>
      <c r="G570" s="32"/>
      <c r="H570" s="52"/>
    </row>
    <row r="571" spans="1:8" x14ac:dyDescent="0.3">
      <c r="A571" s="31"/>
      <c r="B571" s="39"/>
      <c r="C571" s="32"/>
      <c r="D571" s="32"/>
      <c r="E571" s="32"/>
      <c r="F571" s="32"/>
      <c r="G571" s="32"/>
      <c r="H571" s="52"/>
    </row>
    <row r="572" spans="1:8" x14ac:dyDescent="0.3">
      <c r="A572" s="31"/>
      <c r="B572" s="39"/>
      <c r="C572" s="32"/>
      <c r="D572" s="32"/>
      <c r="E572" s="32"/>
      <c r="F572" s="32"/>
      <c r="G572" s="32"/>
      <c r="H572" s="52"/>
    </row>
    <row r="573" spans="1:8" x14ac:dyDescent="0.3">
      <c r="A573" s="31"/>
      <c r="B573" s="39"/>
      <c r="C573" s="32"/>
      <c r="D573" s="32"/>
      <c r="E573" s="32"/>
      <c r="F573" s="32"/>
      <c r="G573" s="32"/>
      <c r="H573" s="52"/>
    </row>
    <row r="574" spans="1:8" x14ac:dyDescent="0.3">
      <c r="A574" s="31"/>
      <c r="B574" s="39"/>
      <c r="C574" s="32"/>
      <c r="D574" s="32"/>
      <c r="E574" s="32"/>
      <c r="F574" s="32"/>
      <c r="G574" s="32"/>
      <c r="H574" s="52"/>
    </row>
    <row r="575" spans="1:8" x14ac:dyDescent="0.3">
      <c r="A575" s="31"/>
      <c r="B575" s="39"/>
      <c r="C575" s="32"/>
      <c r="D575" s="32"/>
      <c r="E575" s="32"/>
      <c r="F575" s="32"/>
      <c r="G575" s="32"/>
      <c r="H575" s="52"/>
    </row>
    <row r="576" spans="1:8" x14ac:dyDescent="0.3">
      <c r="A576" s="31"/>
      <c r="B576" s="39"/>
      <c r="C576" s="32"/>
      <c r="D576" s="32"/>
      <c r="E576" s="32"/>
      <c r="F576" s="32"/>
      <c r="G576" s="32"/>
      <c r="H576" s="52"/>
    </row>
    <row r="577" spans="1:8" x14ac:dyDescent="0.3">
      <c r="A577" s="31"/>
      <c r="B577" s="39"/>
      <c r="C577" s="32"/>
      <c r="D577" s="32"/>
      <c r="E577" s="32"/>
      <c r="F577" s="32"/>
      <c r="G577" s="32"/>
      <c r="H577" s="52"/>
    </row>
    <row r="578" spans="1:8" x14ac:dyDescent="0.3">
      <c r="A578" s="31"/>
      <c r="B578" s="39"/>
      <c r="C578" s="32"/>
      <c r="D578" s="32"/>
      <c r="E578" s="32"/>
      <c r="F578" s="32"/>
      <c r="G578" s="32"/>
      <c r="H578" s="52"/>
    </row>
    <row r="579" spans="1:8" x14ac:dyDescent="0.3">
      <c r="A579" s="31"/>
      <c r="B579" s="39"/>
      <c r="C579" s="32"/>
      <c r="D579" s="32"/>
      <c r="E579" s="32"/>
      <c r="F579" s="32"/>
      <c r="G579" s="32"/>
      <c r="H579" s="52"/>
    </row>
    <row r="580" spans="1:8" x14ac:dyDescent="0.3">
      <c r="A580" s="31"/>
      <c r="B580" s="39"/>
      <c r="C580" s="32"/>
      <c r="D580" s="32"/>
      <c r="E580" s="32"/>
      <c r="F580" s="32"/>
      <c r="G580" s="32"/>
      <c r="H580" s="52"/>
    </row>
    <row r="581" spans="1:8" x14ac:dyDescent="0.3">
      <c r="A581" s="31"/>
      <c r="B581" s="39"/>
      <c r="C581" s="32"/>
      <c r="D581" s="32"/>
      <c r="E581" s="32"/>
      <c r="F581" s="32"/>
      <c r="G581" s="32"/>
      <c r="H581" s="52"/>
    </row>
    <row r="582" spans="1:8" x14ac:dyDescent="0.3">
      <c r="A582" s="31"/>
      <c r="B582" s="39"/>
      <c r="C582" s="32"/>
      <c r="D582" s="32"/>
      <c r="E582" s="32"/>
      <c r="F582" s="32"/>
      <c r="G582" s="32"/>
      <c r="H582" s="52"/>
    </row>
    <row r="583" spans="1:8" x14ac:dyDescent="0.3">
      <c r="A583" s="31"/>
      <c r="B583" s="39"/>
      <c r="C583" s="32"/>
      <c r="D583" s="32"/>
      <c r="E583" s="32"/>
      <c r="F583" s="32"/>
      <c r="G583" s="32"/>
      <c r="H583" s="52"/>
    </row>
    <row r="584" spans="1:8" x14ac:dyDescent="0.3">
      <c r="A584" s="31"/>
      <c r="B584" s="39"/>
      <c r="C584" s="32"/>
      <c r="D584" s="32"/>
      <c r="E584" s="32"/>
      <c r="F584" s="32"/>
      <c r="G584" s="32"/>
      <c r="H584" s="52"/>
    </row>
    <row r="585" spans="1:8" x14ac:dyDescent="0.3">
      <c r="A585" s="31"/>
      <c r="B585" s="39"/>
      <c r="C585" s="32"/>
      <c r="D585" s="32"/>
      <c r="E585" s="32"/>
      <c r="F585" s="32"/>
      <c r="G585" s="32"/>
      <c r="H585" s="52"/>
    </row>
    <row r="586" spans="1:8" x14ac:dyDescent="0.3">
      <c r="A586" s="31"/>
      <c r="B586" s="39"/>
      <c r="C586" s="32"/>
      <c r="D586" s="32"/>
      <c r="E586" s="32"/>
      <c r="F586" s="32"/>
      <c r="G586" s="32"/>
      <c r="H586" s="52"/>
    </row>
    <row r="587" spans="1:8" x14ac:dyDescent="0.3">
      <c r="A587" s="31"/>
      <c r="B587" s="39"/>
      <c r="C587" s="32"/>
      <c r="D587" s="32"/>
      <c r="E587" s="32"/>
      <c r="F587" s="32"/>
      <c r="G587" s="32"/>
      <c r="H587" s="52"/>
    </row>
    <row r="588" spans="1:8" x14ac:dyDescent="0.3">
      <c r="A588" s="31"/>
      <c r="B588" s="39"/>
      <c r="C588" s="32"/>
      <c r="D588" s="32"/>
      <c r="E588" s="32"/>
      <c r="F588" s="32"/>
      <c r="G588" s="32"/>
      <c r="H588" s="52"/>
    </row>
    <row r="589" spans="1:8" x14ac:dyDescent="0.3">
      <c r="A589" s="31"/>
      <c r="B589" s="39"/>
      <c r="C589" s="32"/>
      <c r="D589" s="32"/>
      <c r="E589" s="32"/>
      <c r="F589" s="32"/>
      <c r="G589" s="32"/>
      <c r="H589" s="52"/>
    </row>
    <row r="590" spans="1:8" x14ac:dyDescent="0.3">
      <c r="A590" s="31"/>
      <c r="B590" s="39"/>
      <c r="C590" s="32"/>
      <c r="D590" s="32"/>
      <c r="E590" s="32"/>
      <c r="F590" s="32"/>
      <c r="G590" s="32"/>
      <c r="H590" s="52"/>
    </row>
    <row r="591" spans="1:8" x14ac:dyDescent="0.3">
      <c r="A591" s="31"/>
      <c r="B591" s="39"/>
      <c r="C591" s="32"/>
      <c r="D591" s="32"/>
      <c r="E591" s="32"/>
      <c r="F591" s="32"/>
      <c r="G591" s="32"/>
      <c r="H591" s="52"/>
    </row>
    <row r="592" spans="1:8" x14ac:dyDescent="0.3">
      <c r="A592" s="31"/>
      <c r="B592" s="39"/>
      <c r="C592" s="32"/>
      <c r="D592" s="32"/>
      <c r="E592" s="32"/>
      <c r="F592" s="32"/>
      <c r="G592" s="32"/>
      <c r="H592" s="52"/>
    </row>
    <row r="593" spans="1:8" x14ac:dyDescent="0.3">
      <c r="A593" s="31"/>
      <c r="B593" s="39"/>
      <c r="C593" s="32"/>
      <c r="D593" s="32"/>
      <c r="E593" s="32"/>
      <c r="F593" s="32"/>
      <c r="G593" s="32"/>
      <c r="H593" s="52"/>
    </row>
    <row r="594" spans="1:8" x14ac:dyDescent="0.3">
      <c r="A594" s="31"/>
      <c r="B594" s="39"/>
      <c r="C594" s="32"/>
      <c r="D594" s="32"/>
      <c r="E594" s="32"/>
      <c r="F594" s="32"/>
      <c r="G594" s="32"/>
      <c r="H594" s="52"/>
    </row>
    <row r="595" spans="1:8" x14ac:dyDescent="0.3">
      <c r="A595" s="31"/>
      <c r="B595" s="39"/>
      <c r="C595" s="32"/>
      <c r="D595" s="32"/>
      <c r="E595" s="32"/>
      <c r="F595" s="32"/>
      <c r="G595" s="32"/>
      <c r="H595" s="52"/>
    </row>
    <row r="596" spans="1:8" x14ac:dyDescent="0.3">
      <c r="A596" s="31"/>
      <c r="B596" s="39"/>
      <c r="C596" s="32"/>
      <c r="D596" s="32"/>
      <c r="E596" s="32"/>
      <c r="F596" s="32"/>
      <c r="G596" s="32"/>
      <c r="H596" s="52"/>
    </row>
    <row r="597" spans="1:8" x14ac:dyDescent="0.3">
      <c r="A597" s="31"/>
      <c r="B597" s="39"/>
      <c r="C597" s="32"/>
      <c r="D597" s="32"/>
      <c r="E597" s="32"/>
      <c r="F597" s="32"/>
      <c r="G597" s="32"/>
      <c r="H597" s="52"/>
    </row>
    <row r="598" spans="1:8" x14ac:dyDescent="0.3">
      <c r="A598" s="31"/>
      <c r="B598" s="39"/>
      <c r="C598" s="32"/>
      <c r="D598" s="32"/>
      <c r="E598" s="32"/>
      <c r="F598" s="32"/>
      <c r="G598" s="32"/>
      <c r="H598" s="52"/>
    </row>
    <row r="599" spans="1:8" x14ac:dyDescent="0.3">
      <c r="A599" s="31"/>
      <c r="B599" s="39"/>
      <c r="C599" s="32"/>
      <c r="D599" s="32"/>
      <c r="E599" s="32"/>
      <c r="F599" s="32"/>
      <c r="G599" s="32"/>
      <c r="H599" s="52"/>
    </row>
    <row r="600" spans="1:8" x14ac:dyDescent="0.3">
      <c r="A600" s="31"/>
      <c r="B600" s="39"/>
      <c r="C600" s="32"/>
      <c r="D600" s="32"/>
      <c r="E600" s="32"/>
      <c r="F600" s="32"/>
      <c r="G600" s="32"/>
      <c r="H600" s="52"/>
    </row>
    <row r="601" spans="1:8" x14ac:dyDescent="0.3">
      <c r="A601" s="31"/>
      <c r="B601" s="39"/>
      <c r="C601" s="32"/>
      <c r="D601" s="32"/>
      <c r="E601" s="32"/>
      <c r="F601" s="32"/>
      <c r="G601" s="32"/>
      <c r="H601" s="52"/>
    </row>
    <row r="602" spans="1:8" x14ac:dyDescent="0.3">
      <c r="A602" s="31"/>
      <c r="B602" s="39"/>
      <c r="C602" s="32"/>
      <c r="D602" s="32"/>
      <c r="E602" s="32"/>
      <c r="F602" s="32"/>
      <c r="G602" s="32"/>
      <c r="H602" s="52"/>
    </row>
    <row r="603" spans="1:8" x14ac:dyDescent="0.3">
      <c r="A603" s="31"/>
      <c r="B603" s="39"/>
      <c r="C603" s="32"/>
      <c r="D603" s="32"/>
      <c r="E603" s="32"/>
      <c r="F603" s="32"/>
      <c r="G603" s="32"/>
      <c r="H603" s="52"/>
    </row>
    <row r="604" spans="1:8" x14ac:dyDescent="0.3">
      <c r="A604" s="31"/>
      <c r="B604" s="39"/>
      <c r="C604" s="32"/>
      <c r="D604" s="32"/>
      <c r="E604" s="32"/>
      <c r="F604" s="32"/>
      <c r="G604" s="32"/>
      <c r="H604" s="52"/>
    </row>
    <row r="605" spans="1:8" x14ac:dyDescent="0.3">
      <c r="A605" s="31"/>
      <c r="B605" s="39"/>
      <c r="C605" s="32"/>
      <c r="D605" s="32"/>
      <c r="E605" s="32"/>
      <c r="F605" s="32"/>
      <c r="G605" s="32"/>
      <c r="H605" s="52"/>
    </row>
    <row r="606" spans="1:8" x14ac:dyDescent="0.3">
      <c r="A606" s="31"/>
      <c r="B606" s="39"/>
      <c r="C606" s="32"/>
      <c r="D606" s="32"/>
      <c r="E606" s="32"/>
      <c r="F606" s="32"/>
      <c r="G606" s="32"/>
      <c r="H606" s="52"/>
    </row>
    <row r="607" spans="1:8" x14ac:dyDescent="0.3">
      <c r="A607" s="31"/>
      <c r="B607" s="39"/>
      <c r="C607" s="32"/>
      <c r="D607" s="32"/>
      <c r="E607" s="32"/>
      <c r="F607" s="32"/>
      <c r="G607" s="32"/>
      <c r="H607" s="52"/>
    </row>
    <row r="608" spans="1:8" x14ac:dyDescent="0.3">
      <c r="A608" s="31"/>
      <c r="B608" s="39"/>
      <c r="C608" s="32"/>
      <c r="D608" s="32"/>
      <c r="E608" s="32"/>
      <c r="F608" s="32"/>
      <c r="G608" s="32"/>
      <c r="H608" s="52"/>
    </row>
    <row r="609" spans="1:8" x14ac:dyDescent="0.3">
      <c r="A609" s="31"/>
      <c r="B609" s="39"/>
      <c r="C609" s="32"/>
      <c r="D609" s="32"/>
      <c r="E609" s="32"/>
      <c r="F609" s="32"/>
      <c r="G609" s="32"/>
      <c r="H609" s="52"/>
    </row>
    <row r="610" spans="1:8" x14ac:dyDescent="0.3">
      <c r="A610" s="31"/>
      <c r="B610" s="39"/>
      <c r="C610" s="32"/>
      <c r="D610" s="32"/>
      <c r="E610" s="32"/>
      <c r="F610" s="32"/>
      <c r="G610" s="32"/>
      <c r="H610" s="52"/>
    </row>
    <row r="611" spans="1:8" x14ac:dyDescent="0.3">
      <c r="A611" s="31"/>
      <c r="B611" s="39"/>
      <c r="C611" s="32"/>
      <c r="D611" s="32"/>
      <c r="E611" s="32"/>
      <c r="F611" s="32"/>
      <c r="G611" s="32"/>
      <c r="H611" s="52"/>
    </row>
    <row r="612" spans="1:8" x14ac:dyDescent="0.3">
      <c r="A612" s="31"/>
      <c r="B612" s="39"/>
      <c r="C612" s="32"/>
      <c r="D612" s="32"/>
      <c r="E612" s="32"/>
      <c r="F612" s="32"/>
      <c r="G612" s="32"/>
      <c r="H612" s="52"/>
    </row>
    <row r="613" spans="1:8" x14ac:dyDescent="0.3">
      <c r="A613" s="31"/>
      <c r="B613" s="39"/>
      <c r="C613" s="32"/>
      <c r="D613" s="32"/>
      <c r="E613" s="32"/>
      <c r="F613" s="32"/>
      <c r="G613" s="32"/>
      <c r="H613" s="52"/>
    </row>
    <row r="614" spans="1:8" x14ac:dyDescent="0.3">
      <c r="A614" s="31"/>
      <c r="B614" s="39"/>
      <c r="C614" s="32"/>
      <c r="D614" s="32"/>
      <c r="E614" s="32"/>
      <c r="F614" s="32"/>
      <c r="G614" s="32"/>
      <c r="H614" s="52"/>
    </row>
    <row r="615" spans="1:8" x14ac:dyDescent="0.3">
      <c r="A615" s="31"/>
      <c r="B615" s="39"/>
      <c r="C615" s="32"/>
      <c r="D615" s="32"/>
      <c r="E615" s="32"/>
      <c r="F615" s="32"/>
      <c r="G615" s="32"/>
      <c r="H615" s="52"/>
    </row>
    <row r="616" spans="1:8" x14ac:dyDescent="0.3">
      <c r="A616" s="31"/>
      <c r="B616" s="39"/>
      <c r="C616" s="32"/>
      <c r="D616" s="32"/>
      <c r="E616" s="32"/>
      <c r="F616" s="32"/>
      <c r="G616" s="32"/>
      <c r="H616" s="52"/>
    </row>
    <row r="617" spans="1:8" x14ac:dyDescent="0.3">
      <c r="A617" s="31"/>
      <c r="B617" s="39"/>
      <c r="C617" s="32"/>
      <c r="D617" s="32"/>
      <c r="E617" s="32"/>
      <c r="F617" s="32"/>
      <c r="G617" s="32"/>
      <c r="H617" s="52"/>
    </row>
    <row r="618" spans="1:8" x14ac:dyDescent="0.3">
      <c r="A618" s="31"/>
      <c r="B618" s="39"/>
      <c r="C618" s="32"/>
      <c r="D618" s="32"/>
      <c r="E618" s="32"/>
      <c r="F618" s="32"/>
      <c r="G618" s="32"/>
      <c r="H618" s="52"/>
    </row>
    <row r="619" spans="1:8" x14ac:dyDescent="0.3">
      <c r="A619" s="31"/>
      <c r="B619" s="39"/>
      <c r="C619" s="32"/>
      <c r="D619" s="32"/>
      <c r="E619" s="32"/>
      <c r="F619" s="32"/>
      <c r="G619" s="32"/>
      <c r="H619" s="52"/>
    </row>
    <row r="620" spans="1:8" x14ac:dyDescent="0.3">
      <c r="A620" s="31"/>
      <c r="B620" s="39"/>
      <c r="C620" s="32"/>
      <c r="D620" s="32"/>
      <c r="E620" s="32"/>
      <c r="F620" s="32"/>
      <c r="G620" s="32"/>
      <c r="H620" s="52"/>
    </row>
    <row r="621" spans="1:8" x14ac:dyDescent="0.3">
      <c r="A621" s="31"/>
      <c r="B621" s="39"/>
      <c r="C621" s="32"/>
      <c r="D621" s="32"/>
      <c r="E621" s="32"/>
      <c r="F621" s="32"/>
      <c r="G621" s="32"/>
      <c r="H621" s="52"/>
    </row>
    <row r="622" spans="1:8" x14ac:dyDescent="0.3">
      <c r="A622" s="31"/>
      <c r="B622" s="39"/>
      <c r="C622" s="32"/>
      <c r="D622" s="32"/>
      <c r="E622" s="32"/>
      <c r="F622" s="32"/>
      <c r="G622" s="32"/>
      <c r="H622" s="52"/>
    </row>
    <row r="623" spans="1:8" x14ac:dyDescent="0.3">
      <c r="A623" s="31"/>
      <c r="B623" s="39"/>
      <c r="C623" s="32"/>
      <c r="D623" s="32"/>
      <c r="E623" s="32"/>
      <c r="F623" s="32"/>
      <c r="G623" s="32"/>
      <c r="H623" s="52"/>
    </row>
    <row r="624" spans="1:8" x14ac:dyDescent="0.3">
      <c r="A624" s="31"/>
      <c r="B624" s="39"/>
      <c r="C624" s="32"/>
      <c r="D624" s="32"/>
      <c r="E624" s="32"/>
      <c r="F624" s="32"/>
      <c r="G624" s="32"/>
      <c r="H624" s="52"/>
    </row>
    <row r="625" spans="1:8" x14ac:dyDescent="0.3">
      <c r="A625" s="31"/>
      <c r="B625" s="39"/>
      <c r="C625" s="32"/>
      <c r="D625" s="32"/>
      <c r="E625" s="32"/>
      <c r="F625" s="32"/>
      <c r="G625" s="32"/>
      <c r="H625" s="52"/>
    </row>
    <row r="626" spans="1:8" x14ac:dyDescent="0.3">
      <c r="A626" s="31"/>
      <c r="B626" s="39"/>
      <c r="C626" s="32"/>
      <c r="D626" s="32"/>
      <c r="E626" s="32"/>
      <c r="F626" s="32"/>
      <c r="G626" s="32"/>
      <c r="H626" s="52"/>
    </row>
    <row r="627" spans="1:8" x14ac:dyDescent="0.3">
      <c r="A627" s="31"/>
      <c r="B627" s="39"/>
      <c r="C627" s="32"/>
      <c r="D627" s="32"/>
      <c r="E627" s="32"/>
      <c r="F627" s="32"/>
      <c r="G627" s="32"/>
      <c r="H627" s="52"/>
    </row>
    <row r="628" spans="1:8" x14ac:dyDescent="0.3">
      <c r="A628" s="31"/>
      <c r="B628" s="39"/>
      <c r="C628" s="32"/>
      <c r="D628" s="32"/>
      <c r="E628" s="32"/>
      <c r="F628" s="32"/>
      <c r="G628" s="32"/>
      <c r="H628" s="52"/>
    </row>
    <row r="629" spans="1:8" x14ac:dyDescent="0.3">
      <c r="A629" s="31"/>
      <c r="B629" s="39"/>
      <c r="C629" s="32"/>
      <c r="D629" s="32"/>
      <c r="E629" s="32"/>
      <c r="F629" s="32"/>
      <c r="G629" s="32"/>
      <c r="H629" s="52"/>
    </row>
    <row r="630" spans="1:8" x14ac:dyDescent="0.3">
      <c r="A630" s="31"/>
      <c r="B630" s="39"/>
      <c r="C630" s="32"/>
      <c r="D630" s="32"/>
      <c r="E630" s="32"/>
      <c r="F630" s="32"/>
      <c r="G630" s="32"/>
      <c r="H630" s="52"/>
    </row>
    <row r="631" spans="1:8" x14ac:dyDescent="0.3">
      <c r="A631" s="31"/>
      <c r="B631" s="39"/>
      <c r="C631" s="32"/>
      <c r="D631" s="32"/>
      <c r="E631" s="32"/>
      <c r="F631" s="32"/>
      <c r="G631" s="32"/>
      <c r="H631" s="52"/>
    </row>
    <row r="632" spans="1:8" x14ac:dyDescent="0.3">
      <c r="A632" s="31"/>
      <c r="B632" s="39"/>
      <c r="C632" s="32"/>
      <c r="D632" s="32"/>
      <c r="E632" s="32"/>
      <c r="F632" s="32"/>
      <c r="G632" s="32"/>
      <c r="H632" s="52"/>
    </row>
    <row r="633" spans="1:8" x14ac:dyDescent="0.3">
      <c r="A633" s="31"/>
      <c r="B633" s="39"/>
      <c r="C633" s="32"/>
      <c r="D633" s="32"/>
      <c r="E633" s="32"/>
      <c r="F633" s="32"/>
      <c r="G633" s="32"/>
      <c r="H633" s="52"/>
    </row>
    <row r="634" spans="1:8" x14ac:dyDescent="0.3">
      <c r="A634" s="31"/>
      <c r="B634" s="39"/>
      <c r="C634" s="32"/>
      <c r="D634" s="32"/>
      <c r="E634" s="32"/>
      <c r="F634" s="32"/>
      <c r="G634" s="32"/>
      <c r="H634" s="52"/>
    </row>
    <row r="635" spans="1:8" x14ac:dyDescent="0.3">
      <c r="A635" s="31"/>
      <c r="B635" s="39"/>
      <c r="C635" s="32"/>
      <c r="D635" s="32"/>
      <c r="E635" s="32"/>
      <c r="F635" s="32"/>
      <c r="G635" s="32"/>
      <c r="H635" s="52"/>
    </row>
    <row r="636" spans="1:8" x14ac:dyDescent="0.3">
      <c r="A636" s="31"/>
      <c r="B636" s="39"/>
      <c r="C636" s="32"/>
      <c r="D636" s="32"/>
      <c r="E636" s="32"/>
      <c r="F636" s="32"/>
      <c r="G636" s="32"/>
      <c r="H636" s="52"/>
    </row>
    <row r="637" spans="1:8" x14ac:dyDescent="0.3">
      <c r="A637" s="31"/>
      <c r="B637" s="39"/>
      <c r="C637" s="32"/>
      <c r="D637" s="32"/>
      <c r="E637" s="32"/>
      <c r="F637" s="32"/>
      <c r="G637" s="32"/>
      <c r="H637" s="52"/>
    </row>
    <row r="638" spans="1:8" x14ac:dyDescent="0.3">
      <c r="A638" s="31"/>
      <c r="B638" s="39"/>
      <c r="C638" s="32"/>
      <c r="D638" s="32"/>
      <c r="E638" s="32"/>
      <c r="F638" s="32"/>
      <c r="G638" s="32"/>
      <c r="H638" s="52"/>
    </row>
    <row r="639" spans="1:8" x14ac:dyDescent="0.3">
      <c r="A639" s="31"/>
      <c r="B639" s="39"/>
      <c r="C639" s="32"/>
      <c r="D639" s="32"/>
      <c r="E639" s="32"/>
      <c r="F639" s="32"/>
      <c r="G639" s="32"/>
      <c r="H639" s="52"/>
    </row>
    <row r="640" spans="1:8" x14ac:dyDescent="0.3">
      <c r="A640" s="31"/>
      <c r="B640" s="39"/>
      <c r="C640" s="32"/>
      <c r="D640" s="32"/>
      <c r="E640" s="32"/>
      <c r="F640" s="32"/>
      <c r="G640" s="32"/>
      <c r="H640" s="52"/>
    </row>
    <row r="641" spans="1:8" x14ac:dyDescent="0.3">
      <c r="A641" s="31"/>
      <c r="B641" s="39"/>
      <c r="C641" s="32"/>
      <c r="D641" s="32"/>
      <c r="E641" s="32"/>
      <c r="F641" s="32"/>
      <c r="G641" s="32"/>
      <c r="H641" s="52"/>
    </row>
    <row r="642" spans="1:8" x14ac:dyDescent="0.3">
      <c r="A642" s="31"/>
      <c r="B642" s="39"/>
      <c r="C642" s="32"/>
      <c r="D642" s="32"/>
      <c r="E642" s="32"/>
      <c r="F642" s="32"/>
      <c r="G642" s="32"/>
      <c r="H642" s="52"/>
    </row>
    <row r="643" spans="1:8" x14ac:dyDescent="0.3">
      <c r="A643" s="31"/>
      <c r="B643" s="39"/>
      <c r="C643" s="32"/>
      <c r="D643" s="32"/>
      <c r="E643" s="32"/>
      <c r="F643" s="32"/>
      <c r="G643" s="32"/>
      <c r="H643" s="52"/>
    </row>
    <row r="644" spans="1:8" x14ac:dyDescent="0.3">
      <c r="A644" s="31"/>
      <c r="B644" s="39"/>
      <c r="C644" s="32"/>
      <c r="D644" s="32"/>
      <c r="E644" s="32"/>
      <c r="F644" s="32"/>
      <c r="G644" s="32"/>
      <c r="H644" s="52"/>
    </row>
    <row r="645" spans="1:8" x14ac:dyDescent="0.3">
      <c r="A645" s="31"/>
      <c r="B645" s="39"/>
      <c r="C645" s="32"/>
      <c r="D645" s="32"/>
      <c r="E645" s="32"/>
      <c r="F645" s="32"/>
      <c r="G645" s="32"/>
      <c r="H645" s="52"/>
    </row>
    <row r="646" spans="1:8" x14ac:dyDescent="0.3">
      <c r="A646" s="31"/>
      <c r="B646" s="39"/>
      <c r="C646" s="32"/>
      <c r="D646" s="32"/>
      <c r="E646" s="32"/>
      <c r="F646" s="32"/>
      <c r="G646" s="32"/>
      <c r="H646" s="52"/>
    </row>
    <row r="647" spans="1:8" x14ac:dyDescent="0.3">
      <c r="A647" s="31"/>
      <c r="B647" s="39"/>
      <c r="C647" s="32"/>
      <c r="D647" s="32"/>
      <c r="E647" s="32"/>
      <c r="F647" s="32"/>
      <c r="G647" s="32"/>
      <c r="H647" s="52"/>
    </row>
    <row r="648" spans="1:8" x14ac:dyDescent="0.3">
      <c r="A648" s="31"/>
      <c r="B648" s="39"/>
      <c r="C648" s="32"/>
      <c r="D648" s="32"/>
      <c r="E648" s="32"/>
      <c r="F648" s="32"/>
      <c r="G648" s="32"/>
      <c r="H648" s="52"/>
    </row>
    <row r="649" spans="1:8" x14ac:dyDescent="0.3">
      <c r="A649" s="31"/>
      <c r="B649" s="39"/>
      <c r="C649" s="32"/>
      <c r="D649" s="32"/>
      <c r="E649" s="32"/>
      <c r="F649" s="32"/>
      <c r="G649" s="32"/>
      <c r="H649" s="52"/>
    </row>
    <row r="650" spans="1:8" x14ac:dyDescent="0.3">
      <c r="A650" s="31"/>
      <c r="B650" s="39"/>
      <c r="C650" s="32"/>
      <c r="D650" s="32"/>
      <c r="E650" s="32"/>
      <c r="F650" s="32"/>
      <c r="G650" s="32"/>
      <c r="H650" s="52"/>
    </row>
    <row r="651" spans="1:8" x14ac:dyDescent="0.3">
      <c r="A651" s="31"/>
      <c r="B651" s="39"/>
      <c r="C651" s="32"/>
      <c r="D651" s="32"/>
      <c r="E651" s="32"/>
      <c r="F651" s="32"/>
      <c r="G651" s="32"/>
      <c r="H651" s="52"/>
    </row>
    <row r="652" spans="1:8" x14ac:dyDescent="0.3">
      <c r="A652" s="31"/>
      <c r="B652" s="39"/>
      <c r="C652" s="32"/>
      <c r="D652" s="32"/>
      <c r="E652" s="32"/>
      <c r="F652" s="32"/>
      <c r="G652" s="32"/>
      <c r="H652" s="52"/>
    </row>
    <row r="653" spans="1:8" x14ac:dyDescent="0.3">
      <c r="A653" s="31"/>
      <c r="B653" s="39"/>
      <c r="C653" s="32"/>
      <c r="D653" s="32"/>
      <c r="E653" s="32"/>
      <c r="F653" s="32"/>
      <c r="G653" s="32"/>
      <c r="H653" s="52"/>
    </row>
    <row r="654" spans="1:8" x14ac:dyDescent="0.3">
      <c r="A654" s="31"/>
      <c r="B654" s="39"/>
      <c r="C654" s="32"/>
      <c r="D654" s="32"/>
      <c r="E654" s="32"/>
      <c r="F654" s="32"/>
      <c r="G654" s="32"/>
      <c r="H654" s="52"/>
    </row>
    <row r="655" spans="1:8" x14ac:dyDescent="0.3">
      <c r="A655" s="31"/>
      <c r="B655" s="39"/>
      <c r="C655" s="32"/>
      <c r="D655" s="32"/>
      <c r="E655" s="32"/>
      <c r="F655" s="32"/>
      <c r="G655" s="32"/>
      <c r="H655" s="52"/>
    </row>
    <row r="656" spans="1:8" x14ac:dyDescent="0.3">
      <c r="A656" s="31"/>
      <c r="B656" s="39"/>
      <c r="C656" s="32"/>
      <c r="D656" s="32"/>
      <c r="E656" s="32"/>
      <c r="F656" s="32"/>
      <c r="G656" s="32"/>
      <c r="H656" s="52"/>
    </row>
    <row r="657" spans="1:8" x14ac:dyDescent="0.3">
      <c r="A657" s="31"/>
      <c r="B657" s="39"/>
      <c r="C657" s="32"/>
      <c r="D657" s="32"/>
      <c r="E657" s="32"/>
      <c r="F657" s="32"/>
      <c r="G657" s="32"/>
      <c r="H657" s="52"/>
    </row>
    <row r="658" spans="1:8" x14ac:dyDescent="0.3">
      <c r="A658" s="31"/>
      <c r="B658" s="39"/>
      <c r="C658" s="32"/>
      <c r="D658" s="32"/>
      <c r="E658" s="32"/>
      <c r="F658" s="32"/>
      <c r="G658" s="32"/>
      <c r="H658" s="52"/>
    </row>
    <row r="659" spans="1:8" x14ac:dyDescent="0.3">
      <c r="A659" s="31"/>
      <c r="B659" s="39"/>
      <c r="C659" s="32"/>
      <c r="D659" s="32"/>
      <c r="E659" s="32"/>
      <c r="F659" s="32"/>
      <c r="G659" s="32"/>
      <c r="H659" s="52"/>
    </row>
    <row r="660" spans="1:8" x14ac:dyDescent="0.3">
      <c r="A660" s="31"/>
      <c r="B660" s="39"/>
      <c r="C660" s="32"/>
      <c r="D660" s="32"/>
      <c r="E660" s="32"/>
      <c r="F660" s="32"/>
      <c r="G660" s="32"/>
      <c r="H660" s="52"/>
    </row>
    <row r="661" spans="1:8" x14ac:dyDescent="0.3">
      <c r="A661" s="31"/>
      <c r="B661" s="39"/>
      <c r="C661" s="32"/>
      <c r="D661" s="32"/>
      <c r="E661" s="32"/>
      <c r="F661" s="32"/>
      <c r="G661" s="32"/>
      <c r="H661" s="52"/>
    </row>
    <row r="662" spans="1:8" x14ac:dyDescent="0.3">
      <c r="A662" s="31"/>
      <c r="B662" s="39"/>
      <c r="C662" s="32"/>
      <c r="D662" s="32"/>
      <c r="E662" s="32"/>
      <c r="F662" s="32"/>
      <c r="G662" s="32"/>
      <c r="H662" s="52"/>
    </row>
    <row r="663" spans="1:8" x14ac:dyDescent="0.3">
      <c r="A663" s="31"/>
      <c r="B663" s="39"/>
      <c r="C663" s="32"/>
      <c r="D663" s="32"/>
      <c r="E663" s="32"/>
      <c r="F663" s="32"/>
      <c r="G663" s="32"/>
      <c r="H663" s="52"/>
    </row>
    <row r="664" spans="1:8" x14ac:dyDescent="0.3">
      <c r="A664" s="31"/>
      <c r="B664" s="39"/>
      <c r="C664" s="32"/>
      <c r="D664" s="32"/>
      <c r="E664" s="32"/>
      <c r="F664" s="32"/>
      <c r="G664" s="32"/>
      <c r="H664" s="52"/>
    </row>
    <row r="665" spans="1:8" x14ac:dyDescent="0.3">
      <c r="A665" s="31"/>
      <c r="B665" s="39"/>
      <c r="C665" s="32"/>
      <c r="D665" s="32"/>
      <c r="E665" s="32"/>
      <c r="F665" s="32"/>
      <c r="G665" s="32"/>
      <c r="H665" s="52"/>
    </row>
    <row r="666" spans="1:8" x14ac:dyDescent="0.3">
      <c r="A666" s="31"/>
      <c r="B666" s="39"/>
      <c r="C666" s="32"/>
      <c r="D666" s="32"/>
      <c r="E666" s="32"/>
      <c r="F666" s="32"/>
      <c r="G666" s="32"/>
      <c r="H666" s="52"/>
    </row>
    <row r="667" spans="1:8" x14ac:dyDescent="0.3">
      <c r="A667" s="31"/>
      <c r="B667" s="39"/>
      <c r="C667" s="32"/>
      <c r="D667" s="32"/>
      <c r="E667" s="32"/>
      <c r="F667" s="32"/>
      <c r="G667" s="32"/>
      <c r="H667" s="52"/>
    </row>
    <row r="668" spans="1:8" x14ac:dyDescent="0.3">
      <c r="A668" s="31"/>
      <c r="B668" s="39"/>
      <c r="C668" s="32"/>
      <c r="D668" s="32"/>
      <c r="E668" s="32"/>
      <c r="F668" s="32"/>
      <c r="G668" s="32"/>
      <c r="H668" s="52"/>
    </row>
    <row r="669" spans="1:8" x14ac:dyDescent="0.3">
      <c r="A669" s="31"/>
      <c r="B669" s="39"/>
      <c r="C669" s="32"/>
      <c r="D669" s="32"/>
      <c r="E669" s="32"/>
      <c r="F669" s="32"/>
      <c r="G669" s="32"/>
      <c r="H669" s="52"/>
    </row>
    <row r="670" spans="1:8" x14ac:dyDescent="0.3">
      <c r="A670" s="31"/>
      <c r="B670" s="39"/>
      <c r="C670" s="32"/>
      <c r="D670" s="32"/>
      <c r="E670" s="32"/>
      <c r="F670" s="32"/>
      <c r="G670" s="32"/>
      <c r="H670" s="52"/>
    </row>
    <row r="671" spans="1:8" x14ac:dyDescent="0.3">
      <c r="A671" s="31"/>
      <c r="B671" s="39"/>
      <c r="C671" s="32"/>
      <c r="D671" s="32"/>
      <c r="E671" s="32"/>
      <c r="F671" s="32"/>
      <c r="G671" s="32"/>
      <c r="H671" s="52"/>
    </row>
    <row r="672" spans="1:8" x14ac:dyDescent="0.3">
      <c r="A672" s="31"/>
      <c r="B672" s="39"/>
      <c r="C672" s="32"/>
      <c r="D672" s="32"/>
      <c r="E672" s="32"/>
      <c r="F672" s="32"/>
      <c r="G672" s="32"/>
      <c r="H672" s="52"/>
    </row>
    <row r="673" spans="1:8" x14ac:dyDescent="0.3">
      <c r="A673" s="31"/>
      <c r="B673" s="39"/>
      <c r="C673" s="32"/>
      <c r="D673" s="32"/>
      <c r="E673" s="32"/>
      <c r="F673" s="32"/>
      <c r="G673" s="32"/>
      <c r="H673" s="52"/>
    </row>
    <row r="674" spans="1:8" x14ac:dyDescent="0.3">
      <c r="A674" s="31"/>
      <c r="B674" s="39"/>
      <c r="C674" s="32"/>
      <c r="D674" s="32"/>
      <c r="E674" s="32"/>
      <c r="F674" s="32"/>
      <c r="G674" s="32"/>
      <c r="H674" s="52"/>
    </row>
    <row r="675" spans="1:8" x14ac:dyDescent="0.3">
      <c r="A675" s="31"/>
      <c r="B675" s="39"/>
      <c r="C675" s="32"/>
      <c r="D675" s="32"/>
      <c r="E675" s="32"/>
      <c r="F675" s="32"/>
      <c r="G675" s="32"/>
      <c r="H675" s="52"/>
    </row>
    <row r="676" spans="1:8" x14ac:dyDescent="0.3">
      <c r="A676" s="31"/>
      <c r="B676" s="39"/>
      <c r="C676" s="32"/>
      <c r="D676" s="32"/>
      <c r="E676" s="32"/>
      <c r="F676" s="32"/>
      <c r="G676" s="32"/>
      <c r="H676" s="52"/>
    </row>
    <row r="677" spans="1:8" x14ac:dyDescent="0.3">
      <c r="A677" s="31"/>
      <c r="B677" s="39"/>
      <c r="C677" s="32"/>
      <c r="D677" s="32"/>
      <c r="E677" s="32"/>
      <c r="F677" s="32"/>
      <c r="G677" s="32"/>
      <c r="H677" s="52"/>
    </row>
    <row r="678" spans="1:8" x14ac:dyDescent="0.3">
      <c r="A678" s="31"/>
      <c r="B678" s="39"/>
      <c r="C678" s="32"/>
      <c r="D678" s="32"/>
      <c r="E678" s="32"/>
      <c r="F678" s="32"/>
      <c r="G678" s="32"/>
      <c r="H678" s="52"/>
    </row>
    <row r="679" spans="1:8" x14ac:dyDescent="0.3">
      <c r="A679" s="31"/>
      <c r="B679" s="39"/>
      <c r="C679" s="32"/>
      <c r="D679" s="32"/>
      <c r="E679" s="32"/>
      <c r="F679" s="32"/>
      <c r="G679" s="32"/>
      <c r="H679" s="52"/>
    </row>
    <row r="680" spans="1:8" x14ac:dyDescent="0.3">
      <c r="A680" s="31"/>
      <c r="B680" s="39"/>
      <c r="C680" s="32"/>
      <c r="D680" s="32"/>
      <c r="E680" s="32"/>
      <c r="F680" s="32"/>
      <c r="G680" s="32"/>
      <c r="H680" s="52"/>
    </row>
    <row r="681" spans="1:8" x14ac:dyDescent="0.3">
      <c r="A681" s="31"/>
      <c r="B681" s="39"/>
      <c r="C681" s="32"/>
      <c r="D681" s="32"/>
      <c r="E681" s="32"/>
      <c r="F681" s="32"/>
      <c r="G681" s="32"/>
      <c r="H681" s="52"/>
    </row>
    <row r="682" spans="1:8" x14ac:dyDescent="0.3">
      <c r="A682" s="31"/>
      <c r="B682" s="39"/>
      <c r="C682" s="32"/>
      <c r="D682" s="32"/>
      <c r="E682" s="32"/>
      <c r="F682" s="32"/>
      <c r="G682" s="32"/>
      <c r="H682" s="52"/>
    </row>
    <row r="683" spans="1:8" x14ac:dyDescent="0.3">
      <c r="A683" s="31"/>
      <c r="B683" s="39"/>
      <c r="C683" s="32"/>
      <c r="D683" s="32"/>
      <c r="E683" s="32"/>
      <c r="F683" s="32"/>
      <c r="G683" s="32"/>
      <c r="H683" s="52"/>
    </row>
    <row r="684" spans="1:8" x14ac:dyDescent="0.3">
      <c r="A684" s="31"/>
      <c r="B684" s="39"/>
      <c r="C684" s="32"/>
      <c r="D684" s="32"/>
      <c r="E684" s="32"/>
      <c r="F684" s="32"/>
      <c r="G684" s="32"/>
      <c r="H684" s="52"/>
    </row>
    <row r="685" spans="1:8" x14ac:dyDescent="0.3">
      <c r="A685" s="31"/>
      <c r="B685" s="39"/>
      <c r="C685" s="32"/>
      <c r="D685" s="32"/>
      <c r="E685" s="32"/>
      <c r="F685" s="32"/>
      <c r="G685" s="32"/>
      <c r="H685" s="52"/>
    </row>
    <row r="686" spans="1:8" x14ac:dyDescent="0.3">
      <c r="A686" s="31"/>
      <c r="B686" s="39"/>
      <c r="C686" s="32"/>
      <c r="D686" s="32"/>
      <c r="E686" s="32"/>
      <c r="F686" s="32"/>
      <c r="G686" s="32"/>
      <c r="H686" s="52"/>
    </row>
    <row r="687" spans="1:8" x14ac:dyDescent="0.3">
      <c r="A687" s="31"/>
      <c r="B687" s="39"/>
      <c r="C687" s="32"/>
      <c r="D687" s="32"/>
      <c r="E687" s="32"/>
      <c r="F687" s="32"/>
      <c r="G687" s="32"/>
      <c r="H687" s="52"/>
    </row>
    <row r="688" spans="1:8" x14ac:dyDescent="0.3">
      <c r="A688" s="31"/>
      <c r="B688" s="39"/>
      <c r="C688" s="32"/>
      <c r="D688" s="32"/>
      <c r="E688" s="32"/>
      <c r="F688" s="32"/>
      <c r="G688" s="32"/>
      <c r="H688" s="52"/>
    </row>
    <row r="689" spans="1:8" x14ac:dyDescent="0.3">
      <c r="A689" s="31"/>
      <c r="B689" s="39"/>
      <c r="C689" s="32"/>
      <c r="D689" s="32"/>
      <c r="E689" s="32"/>
      <c r="F689" s="32"/>
      <c r="G689" s="32"/>
      <c r="H689" s="52"/>
    </row>
    <row r="690" spans="1:8" x14ac:dyDescent="0.3">
      <c r="A690" s="31"/>
      <c r="B690" s="39"/>
      <c r="C690" s="32"/>
      <c r="D690" s="32"/>
      <c r="E690" s="32"/>
      <c r="F690" s="32"/>
      <c r="G690" s="32"/>
      <c r="H690" s="52"/>
    </row>
    <row r="691" spans="1:8" x14ac:dyDescent="0.3">
      <c r="A691" s="31"/>
      <c r="B691" s="39"/>
      <c r="C691" s="32"/>
      <c r="D691" s="32"/>
      <c r="E691" s="32"/>
      <c r="F691" s="32"/>
      <c r="G691" s="32"/>
      <c r="H691" s="52"/>
    </row>
    <row r="692" spans="1:8" x14ac:dyDescent="0.3">
      <c r="A692" s="31"/>
      <c r="B692" s="39"/>
      <c r="C692" s="32"/>
      <c r="D692" s="32"/>
      <c r="E692" s="32"/>
      <c r="F692" s="32"/>
      <c r="G692" s="32"/>
      <c r="H692" s="52"/>
    </row>
    <row r="693" spans="1:8" x14ac:dyDescent="0.3">
      <c r="A693" s="31"/>
      <c r="B693" s="39"/>
      <c r="C693" s="32"/>
      <c r="D693" s="32"/>
      <c r="E693" s="32"/>
      <c r="F693" s="32"/>
      <c r="G693" s="32"/>
      <c r="H693" s="52"/>
    </row>
    <row r="694" spans="1:8" x14ac:dyDescent="0.3">
      <c r="A694" s="31"/>
      <c r="B694" s="39"/>
      <c r="C694" s="32"/>
      <c r="D694" s="32"/>
      <c r="E694" s="32"/>
      <c r="F694" s="32"/>
      <c r="G694" s="32"/>
      <c r="H694" s="52"/>
    </row>
    <row r="695" spans="1:8" x14ac:dyDescent="0.3">
      <c r="A695" s="31"/>
      <c r="B695" s="39"/>
      <c r="C695" s="32"/>
      <c r="D695" s="32"/>
      <c r="E695" s="32"/>
      <c r="F695" s="32"/>
      <c r="G695" s="32"/>
      <c r="H695" s="52"/>
    </row>
    <row r="696" spans="1:8" x14ac:dyDescent="0.3">
      <c r="A696" s="31"/>
      <c r="B696" s="39"/>
      <c r="C696" s="32"/>
      <c r="D696" s="32"/>
      <c r="E696" s="32"/>
      <c r="F696" s="32"/>
      <c r="G696" s="32"/>
      <c r="H696" s="52"/>
    </row>
    <row r="697" spans="1:8" x14ac:dyDescent="0.3">
      <c r="A697" s="31"/>
      <c r="B697" s="39"/>
      <c r="C697" s="32"/>
      <c r="D697" s="32"/>
      <c r="E697" s="32"/>
      <c r="F697" s="32"/>
      <c r="G697" s="32"/>
      <c r="H697" s="52"/>
    </row>
    <row r="698" spans="1:8" x14ac:dyDescent="0.3">
      <c r="A698" s="31"/>
      <c r="B698" s="39"/>
      <c r="C698" s="32"/>
      <c r="D698" s="32"/>
      <c r="E698" s="32"/>
      <c r="F698" s="32"/>
      <c r="G698" s="32"/>
      <c r="H698" s="52"/>
    </row>
    <row r="699" spans="1:8" x14ac:dyDescent="0.3">
      <c r="A699" s="31"/>
      <c r="B699" s="39"/>
      <c r="C699" s="32"/>
      <c r="D699" s="32"/>
      <c r="E699" s="32"/>
      <c r="F699" s="32"/>
      <c r="G699" s="32"/>
      <c r="H699" s="52"/>
    </row>
    <row r="700" spans="1:8" x14ac:dyDescent="0.3">
      <c r="A700" s="31"/>
      <c r="B700" s="39"/>
      <c r="C700" s="32"/>
      <c r="D700" s="32"/>
      <c r="E700" s="32"/>
      <c r="F700" s="32"/>
      <c r="G700" s="32"/>
      <c r="H700" s="52"/>
    </row>
    <row r="701" spans="1:8" x14ac:dyDescent="0.3">
      <c r="A701" s="31"/>
      <c r="B701" s="39"/>
      <c r="C701" s="32"/>
      <c r="D701" s="32"/>
      <c r="E701" s="32"/>
      <c r="F701" s="32"/>
      <c r="G701" s="32"/>
      <c r="H701" s="52"/>
    </row>
    <row r="702" spans="1:8" x14ac:dyDescent="0.3">
      <c r="A702" s="31"/>
      <c r="B702" s="39"/>
      <c r="C702" s="32"/>
      <c r="D702" s="32"/>
      <c r="E702" s="32"/>
      <c r="F702" s="32"/>
      <c r="G702" s="32"/>
      <c r="H702" s="52"/>
    </row>
    <row r="703" spans="1:8" x14ac:dyDescent="0.3">
      <c r="A703" s="31"/>
      <c r="B703" s="39"/>
      <c r="C703" s="32"/>
      <c r="D703" s="32"/>
      <c r="E703" s="32"/>
      <c r="F703" s="32"/>
      <c r="G703" s="32"/>
      <c r="H703" s="52"/>
    </row>
    <row r="704" spans="1:8" x14ac:dyDescent="0.3">
      <c r="A704" s="31"/>
      <c r="B704" s="39"/>
      <c r="C704" s="32"/>
      <c r="D704" s="32"/>
      <c r="E704" s="32"/>
      <c r="F704" s="32"/>
      <c r="G704" s="32"/>
      <c r="H704" s="52"/>
    </row>
    <row r="705" spans="1:8" x14ac:dyDescent="0.3">
      <c r="A705" s="31"/>
      <c r="B705" s="39"/>
      <c r="C705" s="32"/>
      <c r="D705" s="32"/>
      <c r="E705" s="32"/>
      <c r="F705" s="32"/>
      <c r="G705" s="32"/>
      <c r="H705" s="52"/>
    </row>
    <row r="706" spans="1:8" x14ac:dyDescent="0.3">
      <c r="A706" s="31"/>
      <c r="B706" s="39"/>
      <c r="C706" s="32"/>
      <c r="D706" s="32"/>
      <c r="E706" s="32"/>
      <c r="F706" s="32"/>
      <c r="G706" s="32"/>
      <c r="H706" s="52"/>
    </row>
    <row r="707" spans="1:8" x14ac:dyDescent="0.3">
      <c r="A707" s="31"/>
      <c r="B707" s="39"/>
      <c r="C707" s="32"/>
      <c r="D707" s="32"/>
      <c r="E707" s="32"/>
      <c r="F707" s="32"/>
      <c r="G707" s="32"/>
      <c r="H707" s="52"/>
    </row>
    <row r="708" spans="1:8" x14ac:dyDescent="0.3">
      <c r="A708" s="31"/>
      <c r="B708" s="39"/>
      <c r="C708" s="32"/>
      <c r="D708" s="32"/>
      <c r="E708" s="32"/>
      <c r="F708" s="32"/>
      <c r="G708" s="32"/>
      <c r="H708" s="52"/>
    </row>
    <row r="709" spans="1:8" x14ac:dyDescent="0.3">
      <c r="A709" s="31"/>
      <c r="B709" s="39"/>
      <c r="C709" s="32"/>
      <c r="D709" s="32"/>
      <c r="E709" s="32"/>
      <c r="F709" s="32"/>
      <c r="G709" s="32"/>
      <c r="H709" s="52"/>
    </row>
    <row r="710" spans="1:8" x14ac:dyDescent="0.3">
      <c r="A710" s="31"/>
      <c r="B710" s="39"/>
      <c r="C710" s="32"/>
      <c r="D710" s="32"/>
      <c r="E710" s="32"/>
      <c r="F710" s="32"/>
      <c r="G710" s="32"/>
      <c r="H710" s="52"/>
    </row>
    <row r="711" spans="1:8" x14ac:dyDescent="0.3">
      <c r="A711" s="31"/>
      <c r="B711" s="39"/>
      <c r="C711" s="32"/>
      <c r="D711" s="32"/>
      <c r="E711" s="32"/>
      <c r="F711" s="32"/>
      <c r="G711" s="32"/>
      <c r="H711" s="52"/>
    </row>
    <row r="712" spans="1:8" x14ac:dyDescent="0.3">
      <c r="A712" s="31"/>
      <c r="B712" s="39"/>
      <c r="C712" s="32"/>
      <c r="D712" s="32"/>
      <c r="E712" s="32"/>
      <c r="F712" s="32"/>
      <c r="G712" s="32"/>
      <c r="H712" s="52"/>
    </row>
    <row r="713" spans="1:8" x14ac:dyDescent="0.3">
      <c r="A713" s="31"/>
      <c r="B713" s="39"/>
      <c r="C713" s="32"/>
      <c r="D713" s="32"/>
      <c r="E713" s="32"/>
      <c r="F713" s="32"/>
      <c r="G713" s="32"/>
      <c r="H713" s="52"/>
    </row>
    <row r="714" spans="1:8" x14ac:dyDescent="0.3">
      <c r="A714" s="31"/>
      <c r="B714" s="39"/>
      <c r="C714" s="32"/>
      <c r="D714" s="32"/>
      <c r="E714" s="32"/>
      <c r="F714" s="32"/>
      <c r="G714" s="32"/>
      <c r="H714" s="52"/>
    </row>
    <row r="715" spans="1:8" x14ac:dyDescent="0.3">
      <c r="A715" s="31"/>
      <c r="B715" s="39"/>
      <c r="C715" s="32"/>
      <c r="D715" s="32"/>
      <c r="E715" s="32"/>
      <c r="F715" s="32"/>
      <c r="G715" s="32"/>
      <c r="H715" s="52"/>
    </row>
    <row r="716" spans="1:8" x14ac:dyDescent="0.3">
      <c r="A716" s="31"/>
      <c r="B716" s="39"/>
      <c r="C716" s="32"/>
      <c r="D716" s="32"/>
      <c r="E716" s="32"/>
      <c r="F716" s="32"/>
      <c r="G716" s="32"/>
      <c r="H716" s="52"/>
    </row>
    <row r="717" spans="1:8" x14ac:dyDescent="0.3">
      <c r="A717" s="31"/>
      <c r="B717" s="39"/>
      <c r="C717" s="32"/>
      <c r="D717" s="32"/>
      <c r="E717" s="32"/>
      <c r="F717" s="32"/>
      <c r="G717" s="32"/>
      <c r="H717" s="52"/>
    </row>
    <row r="718" spans="1:8" x14ac:dyDescent="0.3">
      <c r="A718" s="31"/>
      <c r="B718" s="39"/>
      <c r="C718" s="32"/>
      <c r="D718" s="32"/>
      <c r="E718" s="32"/>
      <c r="F718" s="32"/>
      <c r="G718" s="32"/>
      <c r="H718" s="52"/>
    </row>
    <row r="719" spans="1:8" x14ac:dyDescent="0.3">
      <c r="A719" s="31"/>
      <c r="B719" s="39"/>
      <c r="C719" s="32"/>
      <c r="D719" s="32"/>
      <c r="E719" s="32"/>
      <c r="F719" s="32"/>
      <c r="G719" s="32"/>
      <c r="H719" s="52"/>
    </row>
    <row r="720" spans="1:8" x14ac:dyDescent="0.3">
      <c r="A720" s="31"/>
      <c r="B720" s="39"/>
      <c r="C720" s="32"/>
      <c r="D720" s="32"/>
      <c r="E720" s="32"/>
      <c r="F720" s="32"/>
      <c r="G720" s="32"/>
      <c r="H720" s="52"/>
    </row>
    <row r="721" spans="1:8" x14ac:dyDescent="0.3">
      <c r="A721" s="31"/>
      <c r="B721" s="39"/>
      <c r="C721" s="32"/>
      <c r="D721" s="32"/>
      <c r="E721" s="32"/>
      <c r="F721" s="32"/>
      <c r="G721" s="32"/>
      <c r="H721" s="52"/>
    </row>
    <row r="722" spans="1:8" x14ac:dyDescent="0.3">
      <c r="A722" s="31"/>
      <c r="B722" s="39"/>
      <c r="C722" s="32"/>
      <c r="D722" s="32"/>
      <c r="E722" s="32"/>
      <c r="F722" s="32"/>
      <c r="G722" s="32"/>
      <c r="H722" s="52"/>
    </row>
    <row r="723" spans="1:8" x14ac:dyDescent="0.3">
      <c r="A723" s="31"/>
      <c r="B723" s="39"/>
      <c r="C723" s="32"/>
      <c r="D723" s="32"/>
      <c r="E723" s="32"/>
      <c r="F723" s="32"/>
      <c r="G723" s="32"/>
      <c r="H723" s="52"/>
    </row>
    <row r="724" spans="1:8" x14ac:dyDescent="0.3">
      <c r="A724" s="31"/>
      <c r="B724" s="39"/>
      <c r="C724" s="32"/>
      <c r="D724" s="32"/>
      <c r="E724" s="32"/>
      <c r="F724" s="32"/>
      <c r="G724" s="32"/>
      <c r="H724" s="52"/>
    </row>
    <row r="725" spans="1:8" x14ac:dyDescent="0.3">
      <c r="A725" s="31"/>
      <c r="B725" s="39"/>
      <c r="C725" s="32"/>
      <c r="D725" s="32"/>
      <c r="E725" s="32"/>
      <c r="F725" s="32"/>
      <c r="G725" s="32"/>
      <c r="H725" s="52"/>
    </row>
    <row r="726" spans="1:8" x14ac:dyDescent="0.3">
      <c r="A726" s="31"/>
      <c r="B726" s="39"/>
      <c r="C726" s="32"/>
      <c r="D726" s="32"/>
      <c r="E726" s="32"/>
      <c r="F726" s="32"/>
      <c r="G726" s="32"/>
      <c r="H726" s="52"/>
    </row>
    <row r="727" spans="1:8" x14ac:dyDescent="0.3">
      <c r="A727" s="31"/>
      <c r="B727" s="39"/>
      <c r="C727" s="32"/>
      <c r="D727" s="32"/>
      <c r="E727" s="32"/>
      <c r="F727" s="32"/>
      <c r="G727" s="32"/>
      <c r="H727" s="52"/>
    </row>
    <row r="728" spans="1:8" x14ac:dyDescent="0.3">
      <c r="A728" s="31"/>
      <c r="B728" s="39"/>
      <c r="C728" s="32"/>
      <c r="D728" s="32"/>
      <c r="E728" s="32"/>
      <c r="F728" s="32"/>
      <c r="G728" s="32"/>
      <c r="H728" s="52"/>
    </row>
    <row r="729" spans="1:8" x14ac:dyDescent="0.3">
      <c r="A729" s="31"/>
      <c r="B729" s="39"/>
      <c r="C729" s="32"/>
      <c r="D729" s="32"/>
      <c r="E729" s="32"/>
      <c r="F729" s="32"/>
      <c r="G729" s="32"/>
      <c r="H729" s="52"/>
    </row>
    <row r="730" spans="1:8" x14ac:dyDescent="0.3">
      <c r="A730" s="31"/>
      <c r="B730" s="39"/>
      <c r="C730" s="32"/>
      <c r="D730" s="32"/>
      <c r="E730" s="32"/>
      <c r="F730" s="32"/>
      <c r="G730" s="32"/>
      <c r="H730" s="52"/>
    </row>
    <row r="731" spans="1:8" x14ac:dyDescent="0.3">
      <c r="A731" s="31"/>
      <c r="B731" s="39"/>
      <c r="C731" s="32"/>
      <c r="D731" s="32"/>
      <c r="E731" s="32"/>
      <c r="F731" s="32"/>
      <c r="G731" s="32"/>
      <c r="H731" s="52"/>
    </row>
    <row r="732" spans="1:8" x14ac:dyDescent="0.3">
      <c r="A732" s="31"/>
      <c r="B732" s="39"/>
      <c r="C732" s="32"/>
      <c r="D732" s="32"/>
      <c r="E732" s="32"/>
      <c r="F732" s="32"/>
      <c r="G732" s="32"/>
      <c r="H732" s="52"/>
    </row>
    <row r="733" spans="1:8" x14ac:dyDescent="0.3">
      <c r="A733" s="31"/>
      <c r="B733" s="39"/>
      <c r="C733" s="32"/>
      <c r="D733" s="32"/>
      <c r="E733" s="32"/>
      <c r="F733" s="32"/>
      <c r="G733" s="32"/>
      <c r="H733" s="52"/>
    </row>
    <row r="734" spans="1:8" x14ac:dyDescent="0.3">
      <c r="A734" s="31"/>
      <c r="B734" s="39"/>
      <c r="C734" s="32"/>
      <c r="D734" s="32"/>
      <c r="E734" s="32"/>
      <c r="F734" s="32"/>
      <c r="G734" s="32"/>
      <c r="H734" s="52"/>
    </row>
    <row r="735" spans="1:8" x14ac:dyDescent="0.3">
      <c r="A735" s="31"/>
      <c r="B735" s="39"/>
      <c r="C735" s="32"/>
      <c r="D735" s="32"/>
      <c r="E735" s="32"/>
      <c r="F735" s="32"/>
      <c r="G735" s="32"/>
      <c r="H735" s="52"/>
    </row>
    <row r="736" spans="1:8" x14ac:dyDescent="0.3">
      <c r="A736" s="31"/>
      <c r="B736" s="39"/>
      <c r="C736" s="32"/>
      <c r="D736" s="32"/>
      <c r="E736" s="32"/>
      <c r="F736" s="32"/>
      <c r="G736" s="32"/>
      <c r="H736" s="52"/>
    </row>
    <row r="737" spans="1:8" x14ac:dyDescent="0.3">
      <c r="A737" s="31"/>
      <c r="B737" s="39"/>
      <c r="C737" s="32"/>
      <c r="D737" s="32"/>
      <c r="E737" s="32"/>
      <c r="F737" s="32"/>
      <c r="G737" s="32"/>
      <c r="H737" s="52"/>
    </row>
    <row r="738" spans="1:8" x14ac:dyDescent="0.3">
      <c r="A738" s="31"/>
      <c r="B738" s="39"/>
      <c r="C738" s="32"/>
      <c r="D738" s="32"/>
      <c r="E738" s="32"/>
      <c r="F738" s="32"/>
      <c r="G738" s="32"/>
      <c r="H738" s="52"/>
    </row>
    <row r="739" spans="1:8" x14ac:dyDescent="0.3">
      <c r="A739" s="31"/>
      <c r="B739" s="39"/>
      <c r="C739" s="32"/>
      <c r="D739" s="32"/>
      <c r="E739" s="32"/>
      <c r="F739" s="32"/>
      <c r="G739" s="32"/>
      <c r="H739" s="52"/>
    </row>
    <row r="740" spans="1:8" x14ac:dyDescent="0.3">
      <c r="A740" s="31"/>
      <c r="B740" s="39"/>
      <c r="C740" s="32"/>
      <c r="D740" s="32"/>
      <c r="E740" s="32"/>
      <c r="F740" s="32"/>
      <c r="G740" s="32"/>
      <c r="H740" s="52"/>
    </row>
    <row r="741" spans="1:8" x14ac:dyDescent="0.3">
      <c r="A741" s="31"/>
      <c r="B741" s="39"/>
      <c r="C741" s="32"/>
      <c r="D741" s="32"/>
      <c r="E741" s="32"/>
      <c r="F741" s="32"/>
      <c r="G741" s="32"/>
      <c r="H741" s="52"/>
    </row>
    <row r="742" spans="1:8" x14ac:dyDescent="0.3">
      <c r="A742" s="31"/>
      <c r="B742" s="39"/>
      <c r="C742" s="32"/>
      <c r="D742" s="32"/>
      <c r="E742" s="32"/>
      <c r="F742" s="32"/>
      <c r="G742" s="32"/>
      <c r="H742" s="52"/>
    </row>
    <row r="743" spans="1:8" x14ac:dyDescent="0.3">
      <c r="A743" s="31"/>
      <c r="B743" s="39"/>
      <c r="C743" s="32"/>
      <c r="D743" s="32"/>
      <c r="E743" s="32"/>
      <c r="F743" s="32"/>
      <c r="G743" s="32"/>
      <c r="H743" s="52"/>
    </row>
    <row r="744" spans="1:8" x14ac:dyDescent="0.3">
      <c r="A744" s="31"/>
      <c r="B744" s="39"/>
      <c r="C744" s="32"/>
      <c r="D744" s="32"/>
      <c r="E744" s="32"/>
      <c r="F744" s="32"/>
      <c r="G744" s="32"/>
      <c r="H744" s="52"/>
    </row>
    <row r="745" spans="1:8" x14ac:dyDescent="0.3">
      <c r="A745" s="31"/>
      <c r="B745" s="39"/>
      <c r="C745" s="32"/>
      <c r="D745" s="32"/>
      <c r="E745" s="32"/>
      <c r="F745" s="32"/>
      <c r="G745" s="32"/>
      <c r="H745" s="52"/>
    </row>
    <row r="746" spans="1:8" x14ac:dyDescent="0.3">
      <c r="A746" s="31"/>
      <c r="B746" s="39"/>
      <c r="C746" s="32"/>
      <c r="D746" s="32"/>
      <c r="E746" s="32"/>
      <c r="F746" s="32"/>
      <c r="G746" s="32"/>
      <c r="H746" s="52"/>
    </row>
    <row r="747" spans="1:8" x14ac:dyDescent="0.3">
      <c r="A747" s="31"/>
      <c r="B747" s="39"/>
      <c r="C747" s="32"/>
      <c r="D747" s="32"/>
      <c r="E747" s="32"/>
      <c r="F747" s="32"/>
      <c r="G747" s="32"/>
      <c r="H747" s="52"/>
    </row>
    <row r="748" spans="1:8" x14ac:dyDescent="0.3">
      <c r="A748" s="31"/>
      <c r="B748" s="39"/>
      <c r="C748" s="32"/>
      <c r="D748" s="32"/>
      <c r="E748" s="32"/>
      <c r="F748" s="32"/>
      <c r="G748" s="32"/>
      <c r="H748" s="52"/>
    </row>
    <row r="749" spans="1:8" x14ac:dyDescent="0.3">
      <c r="A749" s="31"/>
      <c r="B749" s="39"/>
      <c r="C749" s="32"/>
      <c r="D749" s="32"/>
      <c r="E749" s="32"/>
      <c r="F749" s="32"/>
      <c r="G749" s="32"/>
      <c r="H749" s="52"/>
    </row>
    <row r="750" spans="1:8" x14ac:dyDescent="0.3">
      <c r="A750" s="31"/>
      <c r="B750" s="39"/>
      <c r="C750" s="32"/>
      <c r="D750" s="32"/>
      <c r="E750" s="32"/>
      <c r="F750" s="32"/>
      <c r="G750" s="32"/>
      <c r="H750" s="52"/>
    </row>
    <row r="751" spans="1:8" x14ac:dyDescent="0.3">
      <c r="A751" s="31"/>
      <c r="B751" s="39"/>
      <c r="C751" s="32"/>
      <c r="D751" s="32"/>
      <c r="E751" s="32"/>
      <c r="F751" s="32"/>
      <c r="G751" s="32"/>
      <c r="H751" s="52"/>
    </row>
    <row r="752" spans="1:8" x14ac:dyDescent="0.3">
      <c r="A752" s="31"/>
      <c r="B752" s="39"/>
      <c r="C752" s="32"/>
      <c r="D752" s="32"/>
      <c r="E752" s="32"/>
      <c r="F752" s="32"/>
      <c r="G752" s="32"/>
      <c r="H752" s="52"/>
    </row>
    <row r="753" spans="1:8" x14ac:dyDescent="0.3">
      <c r="A753" s="31"/>
      <c r="B753" s="39"/>
      <c r="C753" s="32"/>
      <c r="D753" s="32"/>
      <c r="E753" s="32"/>
      <c r="F753" s="32"/>
      <c r="G753" s="32"/>
      <c r="H753" s="52"/>
    </row>
    <row r="754" spans="1:8" x14ac:dyDescent="0.3">
      <c r="A754" s="31"/>
      <c r="B754" s="39"/>
      <c r="C754" s="32"/>
      <c r="D754" s="32"/>
      <c r="E754" s="32"/>
      <c r="F754" s="32"/>
      <c r="G754" s="32"/>
      <c r="H754" s="52"/>
    </row>
    <row r="755" spans="1:8" x14ac:dyDescent="0.3">
      <c r="A755" s="31"/>
      <c r="B755" s="39"/>
      <c r="C755" s="32"/>
      <c r="D755" s="32"/>
      <c r="E755" s="32"/>
      <c r="F755" s="32"/>
      <c r="G755" s="32"/>
      <c r="H755" s="52"/>
    </row>
    <row r="756" spans="1:8" x14ac:dyDescent="0.3">
      <c r="A756" s="31"/>
      <c r="B756" s="39"/>
      <c r="C756" s="32"/>
      <c r="D756" s="32"/>
      <c r="E756" s="32"/>
      <c r="F756" s="32"/>
      <c r="G756" s="32"/>
      <c r="H756" s="52"/>
    </row>
    <row r="757" spans="1:8" x14ac:dyDescent="0.3">
      <c r="A757" s="31"/>
      <c r="B757" s="39"/>
      <c r="C757" s="32"/>
      <c r="D757" s="32"/>
      <c r="E757" s="32"/>
      <c r="F757" s="32"/>
      <c r="G757" s="32"/>
      <c r="H757" s="52"/>
    </row>
    <row r="758" spans="1:8" x14ac:dyDescent="0.3">
      <c r="A758" s="31"/>
      <c r="B758" s="39"/>
      <c r="C758" s="32"/>
      <c r="D758" s="32"/>
      <c r="E758" s="32"/>
      <c r="F758" s="32"/>
      <c r="G758" s="32"/>
      <c r="H758" s="52"/>
    </row>
    <row r="759" spans="1:8" x14ac:dyDescent="0.3">
      <c r="A759" s="31"/>
      <c r="B759" s="39"/>
      <c r="C759" s="32"/>
      <c r="D759" s="32"/>
      <c r="E759" s="32"/>
      <c r="F759" s="32"/>
      <c r="G759" s="32"/>
      <c r="H759" s="52"/>
    </row>
    <row r="760" spans="1:8" x14ac:dyDescent="0.3">
      <c r="A760" s="31"/>
      <c r="B760" s="39"/>
      <c r="C760" s="32"/>
      <c r="D760" s="32"/>
      <c r="E760" s="32"/>
      <c r="F760" s="32"/>
      <c r="G760" s="32"/>
      <c r="H760" s="52"/>
    </row>
    <row r="761" spans="1:8" x14ac:dyDescent="0.3">
      <c r="A761" s="31"/>
      <c r="B761" s="39"/>
      <c r="C761" s="32"/>
      <c r="D761" s="32"/>
      <c r="E761" s="32"/>
      <c r="F761" s="32"/>
      <c r="G761" s="32"/>
      <c r="H761" s="52"/>
    </row>
    <row r="762" spans="1:8" x14ac:dyDescent="0.3">
      <c r="A762" s="31"/>
      <c r="B762" s="39"/>
      <c r="C762" s="32"/>
      <c r="D762" s="32"/>
      <c r="E762" s="32"/>
      <c r="F762" s="32"/>
      <c r="G762" s="32"/>
      <c r="H762" s="52"/>
    </row>
    <row r="763" spans="1:8" x14ac:dyDescent="0.3">
      <c r="A763" s="31"/>
      <c r="B763" s="39"/>
      <c r="C763" s="32"/>
      <c r="D763" s="32"/>
      <c r="E763" s="32"/>
      <c r="F763" s="32"/>
      <c r="G763" s="32"/>
      <c r="H763" s="52"/>
    </row>
    <row r="764" spans="1:8" x14ac:dyDescent="0.3">
      <c r="A764" s="31"/>
      <c r="B764" s="39"/>
      <c r="C764" s="32"/>
      <c r="D764" s="32"/>
      <c r="E764" s="32"/>
      <c r="F764" s="32"/>
      <c r="G764" s="32"/>
      <c r="H764" s="52"/>
    </row>
    <row r="765" spans="1:8" x14ac:dyDescent="0.3">
      <c r="A765" s="31"/>
      <c r="B765" s="39"/>
      <c r="C765" s="32"/>
      <c r="D765" s="32"/>
      <c r="E765" s="32"/>
      <c r="F765" s="32"/>
      <c r="G765" s="32"/>
      <c r="H765" s="52"/>
    </row>
    <row r="766" spans="1:8" x14ac:dyDescent="0.3">
      <c r="A766" s="31"/>
      <c r="B766" s="39"/>
      <c r="C766" s="32"/>
      <c r="D766" s="32"/>
      <c r="E766" s="32"/>
      <c r="F766" s="32"/>
      <c r="G766" s="32"/>
      <c r="H766" s="52"/>
    </row>
    <row r="767" spans="1:8" x14ac:dyDescent="0.3">
      <c r="A767" s="31"/>
      <c r="B767" s="39"/>
      <c r="C767" s="32"/>
      <c r="D767" s="32"/>
      <c r="E767" s="32"/>
      <c r="F767" s="32"/>
      <c r="G767" s="32"/>
      <c r="H767" s="52"/>
    </row>
    <row r="768" spans="1:8" x14ac:dyDescent="0.3">
      <c r="A768" s="31"/>
      <c r="B768" s="39"/>
      <c r="C768" s="32"/>
      <c r="D768" s="32"/>
      <c r="E768" s="32"/>
      <c r="F768" s="32"/>
      <c r="G768" s="32"/>
      <c r="H768" s="52"/>
    </row>
    <row r="769" spans="1:8" x14ac:dyDescent="0.3">
      <c r="A769" s="31"/>
      <c r="B769" s="39"/>
      <c r="C769" s="32"/>
      <c r="D769" s="32"/>
      <c r="E769" s="32"/>
      <c r="F769" s="32"/>
      <c r="G769" s="32"/>
      <c r="H769" s="52"/>
    </row>
    <row r="770" spans="1:8" x14ac:dyDescent="0.3">
      <c r="A770" s="31"/>
      <c r="B770" s="39"/>
      <c r="C770" s="32"/>
      <c r="D770" s="32"/>
      <c r="E770" s="32"/>
      <c r="F770" s="32"/>
      <c r="G770" s="32"/>
      <c r="H770" s="52"/>
    </row>
    <row r="771" spans="1:8" x14ac:dyDescent="0.3">
      <c r="A771" s="31"/>
      <c r="B771" s="39"/>
      <c r="C771" s="32"/>
      <c r="D771" s="32"/>
      <c r="E771" s="32"/>
      <c r="F771" s="32"/>
      <c r="G771" s="32"/>
      <c r="H771" s="52"/>
    </row>
    <row r="772" spans="1:8" x14ac:dyDescent="0.3">
      <c r="A772" s="31"/>
      <c r="B772" s="39"/>
      <c r="C772" s="32"/>
      <c r="D772" s="32"/>
      <c r="E772" s="32"/>
      <c r="F772" s="32"/>
      <c r="G772" s="32"/>
      <c r="H772" s="52"/>
    </row>
    <row r="773" spans="1:8" x14ac:dyDescent="0.3">
      <c r="A773" s="31"/>
      <c r="B773" s="39"/>
      <c r="C773" s="32"/>
      <c r="D773" s="32"/>
      <c r="E773" s="32"/>
      <c r="F773" s="32"/>
      <c r="G773" s="32"/>
      <c r="H773" s="52"/>
    </row>
    <row r="774" spans="1:8" x14ac:dyDescent="0.3">
      <c r="A774" s="31"/>
      <c r="B774" s="39"/>
      <c r="C774" s="32"/>
      <c r="D774" s="32"/>
      <c r="E774" s="32"/>
      <c r="F774" s="32"/>
      <c r="G774" s="32"/>
      <c r="H774" s="52"/>
    </row>
    <row r="775" spans="1:8" x14ac:dyDescent="0.3">
      <c r="A775" s="31"/>
      <c r="B775" s="39"/>
      <c r="C775" s="32"/>
      <c r="D775" s="32"/>
      <c r="E775" s="32"/>
      <c r="F775" s="32"/>
      <c r="G775" s="32"/>
      <c r="H775" s="52"/>
    </row>
    <row r="776" spans="1:8" x14ac:dyDescent="0.3">
      <c r="A776" s="31"/>
      <c r="B776" s="39"/>
      <c r="C776" s="32"/>
      <c r="D776" s="32"/>
      <c r="E776" s="32"/>
      <c r="F776" s="32"/>
      <c r="G776" s="32"/>
      <c r="H776" s="52"/>
    </row>
    <row r="777" spans="1:8" x14ac:dyDescent="0.3">
      <c r="A777" s="31"/>
      <c r="B777" s="39"/>
      <c r="C777" s="32"/>
      <c r="D777" s="32"/>
      <c r="E777" s="32"/>
      <c r="F777" s="32"/>
      <c r="G777" s="32"/>
      <c r="H777" s="52"/>
    </row>
    <row r="778" spans="1:8" x14ac:dyDescent="0.3">
      <c r="A778" s="31"/>
      <c r="B778" s="39"/>
      <c r="C778" s="32"/>
      <c r="D778" s="32"/>
      <c r="E778" s="32"/>
      <c r="F778" s="32"/>
      <c r="G778" s="32"/>
      <c r="H778" s="52"/>
    </row>
    <row r="779" spans="1:8" x14ac:dyDescent="0.3">
      <c r="A779" s="31"/>
      <c r="B779" s="39"/>
      <c r="C779" s="32"/>
      <c r="D779" s="32"/>
      <c r="E779" s="32"/>
      <c r="F779" s="32"/>
      <c r="G779" s="32"/>
      <c r="H779" s="52"/>
    </row>
    <row r="780" spans="1:8" x14ac:dyDescent="0.3">
      <c r="A780" s="31"/>
      <c r="B780" s="39"/>
      <c r="C780" s="32"/>
      <c r="D780" s="32"/>
      <c r="E780" s="32"/>
      <c r="F780" s="32"/>
      <c r="G780" s="32"/>
      <c r="H780" s="52"/>
    </row>
    <row r="781" spans="1:8" x14ac:dyDescent="0.3">
      <c r="A781" s="31"/>
      <c r="B781" s="39"/>
      <c r="C781" s="32"/>
      <c r="D781" s="32"/>
      <c r="E781" s="32"/>
      <c r="F781" s="32"/>
      <c r="G781" s="32"/>
      <c r="H781" s="52"/>
    </row>
    <row r="782" spans="1:8" x14ac:dyDescent="0.3">
      <c r="A782" s="31"/>
      <c r="B782" s="39"/>
      <c r="C782" s="32"/>
      <c r="D782" s="32"/>
      <c r="E782" s="32"/>
      <c r="F782" s="32"/>
      <c r="G782" s="32"/>
      <c r="H782" s="52"/>
    </row>
    <row r="783" spans="1:8" x14ac:dyDescent="0.3">
      <c r="A783" s="31"/>
      <c r="B783" s="39"/>
      <c r="C783" s="32"/>
      <c r="D783" s="32"/>
      <c r="E783" s="32"/>
      <c r="F783" s="32"/>
      <c r="G783" s="32"/>
      <c r="H783" s="52"/>
    </row>
    <row r="784" spans="1:8" x14ac:dyDescent="0.3">
      <c r="A784" s="31"/>
      <c r="B784" s="39"/>
      <c r="C784" s="32"/>
      <c r="D784" s="32"/>
      <c r="E784" s="32"/>
      <c r="F784" s="32"/>
      <c r="G784" s="32"/>
      <c r="H784" s="52"/>
    </row>
    <row r="785" spans="1:8" x14ac:dyDescent="0.3">
      <c r="A785" s="31"/>
      <c r="B785" s="39"/>
      <c r="C785" s="32"/>
      <c r="D785" s="32"/>
      <c r="E785" s="32"/>
      <c r="F785" s="32"/>
      <c r="G785" s="32"/>
      <c r="H785" s="52"/>
    </row>
    <row r="786" spans="1:8" x14ac:dyDescent="0.3">
      <c r="A786" s="31"/>
      <c r="B786" s="39"/>
      <c r="C786" s="32"/>
      <c r="D786" s="32"/>
      <c r="E786" s="32"/>
      <c r="F786" s="32"/>
      <c r="G786" s="32"/>
      <c r="H786" s="52"/>
    </row>
    <row r="787" spans="1:8" x14ac:dyDescent="0.3">
      <c r="A787" s="31"/>
      <c r="B787" s="39"/>
      <c r="C787" s="32"/>
      <c r="D787" s="32"/>
      <c r="E787" s="32"/>
      <c r="F787" s="32"/>
      <c r="G787" s="32"/>
      <c r="H787" s="52"/>
    </row>
    <row r="788" spans="1:8" x14ac:dyDescent="0.3">
      <c r="A788" s="31"/>
      <c r="B788" s="39"/>
      <c r="C788" s="32"/>
      <c r="D788" s="32"/>
      <c r="E788" s="32"/>
      <c r="F788" s="32"/>
      <c r="G788" s="32"/>
      <c r="H788" s="52"/>
    </row>
    <row r="789" spans="1:8" x14ac:dyDescent="0.3">
      <c r="A789" s="31"/>
      <c r="B789" s="39"/>
      <c r="C789" s="32"/>
      <c r="D789" s="32"/>
      <c r="E789" s="32"/>
      <c r="F789" s="32"/>
      <c r="G789" s="32"/>
      <c r="H789" s="52"/>
    </row>
    <row r="790" spans="1:8" x14ac:dyDescent="0.3">
      <c r="A790" s="31"/>
      <c r="B790" s="39"/>
      <c r="C790" s="32"/>
      <c r="D790" s="32"/>
      <c r="E790" s="32"/>
      <c r="F790" s="32"/>
      <c r="G790" s="32"/>
      <c r="H790" s="52"/>
    </row>
    <row r="791" spans="1:8" x14ac:dyDescent="0.3">
      <c r="A791" s="31"/>
      <c r="B791" s="39"/>
      <c r="C791" s="32"/>
      <c r="D791" s="32"/>
      <c r="E791" s="32"/>
      <c r="F791" s="32"/>
      <c r="G791" s="32"/>
      <c r="H791" s="52"/>
    </row>
    <row r="792" spans="1:8" x14ac:dyDescent="0.3">
      <c r="A792" s="31"/>
      <c r="B792" s="39"/>
      <c r="C792" s="32"/>
      <c r="D792" s="32"/>
      <c r="E792" s="32"/>
      <c r="F792" s="32"/>
      <c r="G792" s="32"/>
      <c r="H792" s="52"/>
    </row>
    <row r="793" spans="1:8" x14ac:dyDescent="0.3">
      <c r="A793" s="31"/>
      <c r="B793" s="39"/>
      <c r="C793" s="32"/>
      <c r="D793" s="32"/>
      <c r="E793" s="32"/>
      <c r="F793" s="32"/>
      <c r="G793" s="32"/>
      <c r="H793" s="52"/>
    </row>
    <row r="794" spans="1:8" x14ac:dyDescent="0.3">
      <c r="A794" s="31"/>
      <c r="B794" s="39"/>
      <c r="C794" s="32"/>
      <c r="D794" s="32"/>
      <c r="E794" s="32"/>
      <c r="F794" s="32"/>
      <c r="G794" s="32"/>
      <c r="H794" s="52"/>
    </row>
    <row r="795" spans="1:8" x14ac:dyDescent="0.3">
      <c r="A795" s="31"/>
      <c r="B795" s="39"/>
      <c r="C795" s="32"/>
      <c r="D795" s="32"/>
      <c r="E795" s="32"/>
      <c r="F795" s="32"/>
      <c r="G795" s="32"/>
      <c r="H795" s="52"/>
    </row>
    <row r="796" spans="1:8" x14ac:dyDescent="0.3">
      <c r="A796" s="31"/>
      <c r="B796" s="39"/>
      <c r="C796" s="32"/>
      <c r="D796" s="32"/>
      <c r="E796" s="32"/>
      <c r="F796" s="32"/>
      <c r="G796" s="32"/>
      <c r="H796" s="52"/>
    </row>
    <row r="797" spans="1:8" x14ac:dyDescent="0.3">
      <c r="A797" s="31"/>
      <c r="B797" s="39"/>
      <c r="C797" s="32"/>
      <c r="D797" s="32"/>
      <c r="E797" s="32"/>
      <c r="F797" s="32"/>
      <c r="G797" s="32"/>
      <c r="H797" s="52"/>
    </row>
    <row r="798" spans="1:8" x14ac:dyDescent="0.3">
      <c r="A798" s="31"/>
      <c r="B798" s="39"/>
      <c r="C798" s="32"/>
      <c r="D798" s="32"/>
      <c r="E798" s="32"/>
      <c r="F798" s="32"/>
      <c r="G798" s="32"/>
      <c r="H798" s="52"/>
    </row>
    <row r="799" spans="1:8" x14ac:dyDescent="0.3">
      <c r="A799" s="31"/>
      <c r="B799" s="39"/>
      <c r="C799" s="32"/>
      <c r="D799" s="32"/>
      <c r="E799" s="32"/>
      <c r="F799" s="32"/>
      <c r="G799" s="32"/>
      <c r="H799" s="52"/>
    </row>
    <row r="800" spans="1:8" x14ac:dyDescent="0.3">
      <c r="A800" s="31"/>
      <c r="B800" s="39"/>
      <c r="C800" s="32"/>
      <c r="D800" s="32"/>
      <c r="E800" s="32"/>
      <c r="F800" s="32"/>
      <c r="G800" s="32"/>
      <c r="H800" s="52"/>
    </row>
    <row r="801" spans="1:8" x14ac:dyDescent="0.3">
      <c r="A801" s="31"/>
      <c r="B801" s="39"/>
      <c r="C801" s="32"/>
      <c r="D801" s="32"/>
      <c r="E801" s="32"/>
      <c r="F801" s="32"/>
      <c r="G801" s="32"/>
      <c r="H801" s="52"/>
    </row>
    <row r="802" spans="1:8" x14ac:dyDescent="0.3">
      <c r="A802" s="31"/>
      <c r="B802" s="39"/>
      <c r="C802" s="32"/>
      <c r="D802" s="32"/>
      <c r="E802" s="32"/>
      <c r="F802" s="32"/>
      <c r="G802" s="32"/>
      <c r="H802" s="52"/>
    </row>
    <row r="803" spans="1:8" x14ac:dyDescent="0.3">
      <c r="A803" s="31"/>
      <c r="B803" s="39"/>
      <c r="C803" s="32"/>
      <c r="D803" s="32"/>
      <c r="E803" s="32"/>
      <c r="F803" s="32"/>
      <c r="G803" s="32"/>
      <c r="H803" s="52"/>
    </row>
    <row r="804" spans="1:8" x14ac:dyDescent="0.3">
      <c r="A804" s="31"/>
      <c r="B804" s="39"/>
      <c r="C804" s="32"/>
      <c r="D804" s="32"/>
      <c r="E804" s="32"/>
      <c r="F804" s="32"/>
      <c r="G804" s="32"/>
      <c r="H804" s="52"/>
    </row>
    <row r="805" spans="1:8" x14ac:dyDescent="0.3">
      <c r="A805" s="31"/>
      <c r="B805" s="39"/>
      <c r="C805" s="32"/>
      <c r="D805" s="32"/>
      <c r="E805" s="32"/>
      <c r="F805" s="32"/>
      <c r="G805" s="32"/>
      <c r="H805" s="52"/>
    </row>
    <row r="806" spans="1:8" x14ac:dyDescent="0.3">
      <c r="A806" s="31"/>
      <c r="B806" s="39"/>
      <c r="C806" s="32"/>
      <c r="D806" s="32"/>
      <c r="E806" s="32"/>
      <c r="F806" s="32"/>
      <c r="G806" s="32"/>
      <c r="H806" s="52"/>
    </row>
    <row r="807" spans="1:8" x14ac:dyDescent="0.3">
      <c r="A807" s="31"/>
      <c r="B807" s="39"/>
      <c r="C807" s="32"/>
      <c r="D807" s="32"/>
      <c r="E807" s="32"/>
      <c r="F807" s="32"/>
      <c r="G807" s="32"/>
      <c r="H807" s="52"/>
    </row>
    <row r="808" spans="1:8" x14ac:dyDescent="0.3">
      <c r="A808" s="31"/>
      <c r="B808" s="39"/>
      <c r="C808" s="32"/>
      <c r="D808" s="32"/>
      <c r="E808" s="32"/>
      <c r="F808" s="32"/>
      <c r="G808" s="32"/>
      <c r="H808" s="52"/>
    </row>
    <row r="809" spans="1:8" x14ac:dyDescent="0.3">
      <c r="A809" s="31"/>
      <c r="B809" s="39"/>
      <c r="C809" s="32"/>
      <c r="D809" s="32"/>
      <c r="E809" s="32"/>
      <c r="F809" s="32"/>
      <c r="G809" s="32"/>
      <c r="H809" s="52"/>
    </row>
    <row r="810" spans="1:8" x14ac:dyDescent="0.3">
      <c r="A810" s="31"/>
      <c r="B810" s="39"/>
      <c r="C810" s="32"/>
      <c r="D810" s="32"/>
      <c r="E810" s="32"/>
      <c r="F810" s="32"/>
      <c r="G810" s="32"/>
      <c r="H810" s="52"/>
    </row>
    <row r="811" spans="1:8" x14ac:dyDescent="0.3">
      <c r="A811" s="31"/>
      <c r="B811" s="39"/>
      <c r="C811" s="32"/>
      <c r="D811" s="32"/>
      <c r="E811" s="32"/>
      <c r="F811" s="32"/>
      <c r="G811" s="32"/>
      <c r="H811" s="52"/>
    </row>
    <row r="812" spans="1:8" x14ac:dyDescent="0.3">
      <c r="A812" s="31"/>
      <c r="B812" s="39"/>
      <c r="C812" s="32"/>
      <c r="D812" s="32"/>
      <c r="E812" s="32"/>
      <c r="F812" s="32"/>
      <c r="G812" s="32"/>
      <c r="H812" s="52"/>
    </row>
    <row r="813" spans="1:8" x14ac:dyDescent="0.3">
      <c r="A813" s="31"/>
      <c r="B813" s="39"/>
      <c r="C813" s="32"/>
      <c r="D813" s="32"/>
      <c r="E813" s="32"/>
      <c r="F813" s="32"/>
      <c r="G813" s="32"/>
      <c r="H813" s="52"/>
    </row>
    <row r="814" spans="1:8" x14ac:dyDescent="0.3">
      <c r="A814" s="31"/>
      <c r="B814" s="39"/>
      <c r="C814" s="32"/>
      <c r="D814" s="32"/>
      <c r="E814" s="32"/>
      <c r="F814" s="32"/>
      <c r="G814" s="32"/>
      <c r="H814" s="52"/>
    </row>
    <row r="815" spans="1:8" x14ac:dyDescent="0.3">
      <c r="A815" s="31"/>
      <c r="B815" s="39"/>
      <c r="C815" s="32"/>
      <c r="D815" s="32"/>
      <c r="E815" s="32"/>
      <c r="F815" s="32"/>
      <c r="G815" s="32"/>
      <c r="H815" s="52"/>
    </row>
    <row r="816" spans="1:8" x14ac:dyDescent="0.3">
      <c r="A816" s="31"/>
      <c r="B816" s="39"/>
      <c r="C816" s="32"/>
      <c r="D816" s="32"/>
      <c r="E816" s="32"/>
      <c r="F816" s="32"/>
      <c r="G816" s="32"/>
      <c r="H816" s="52"/>
    </row>
    <row r="817" spans="1:8" x14ac:dyDescent="0.3">
      <c r="A817" s="31"/>
      <c r="B817" s="39"/>
      <c r="C817" s="32"/>
      <c r="D817" s="32"/>
      <c r="E817" s="32"/>
      <c r="F817" s="32"/>
      <c r="G817" s="32"/>
      <c r="H817" s="52"/>
    </row>
    <row r="818" spans="1:8" x14ac:dyDescent="0.3">
      <c r="A818" s="31"/>
      <c r="B818" s="39"/>
      <c r="C818" s="32"/>
      <c r="D818" s="32"/>
      <c r="E818" s="32"/>
      <c r="F818" s="32"/>
      <c r="G818" s="32"/>
      <c r="H818" s="52"/>
    </row>
    <row r="819" spans="1:8" x14ac:dyDescent="0.3">
      <c r="A819" s="31"/>
      <c r="B819" s="39"/>
      <c r="C819" s="32"/>
      <c r="D819" s="32"/>
      <c r="E819" s="32"/>
      <c r="F819" s="32"/>
      <c r="G819" s="32"/>
      <c r="H819" s="52"/>
    </row>
    <row r="820" spans="1:8" x14ac:dyDescent="0.3">
      <c r="A820" s="31"/>
      <c r="B820" s="39"/>
      <c r="C820" s="32"/>
      <c r="D820" s="32"/>
      <c r="E820" s="32"/>
      <c r="F820" s="32"/>
      <c r="G820" s="32"/>
      <c r="H820" s="52"/>
    </row>
    <row r="821" spans="1:8" x14ac:dyDescent="0.3">
      <c r="A821" s="31"/>
      <c r="B821" s="39"/>
      <c r="C821" s="32"/>
      <c r="D821" s="32"/>
      <c r="E821" s="32"/>
      <c r="F821" s="32"/>
      <c r="G821" s="32"/>
      <c r="H821" s="52"/>
    </row>
    <row r="822" spans="1:8" x14ac:dyDescent="0.3">
      <c r="A822" s="31"/>
      <c r="B822" s="39"/>
      <c r="C822" s="32"/>
      <c r="D822" s="32"/>
      <c r="E822" s="32"/>
      <c r="F822" s="32"/>
      <c r="G822" s="32"/>
      <c r="H822" s="52"/>
    </row>
    <row r="823" spans="1:8" x14ac:dyDescent="0.3">
      <c r="A823" s="31"/>
      <c r="B823" s="39"/>
      <c r="C823" s="32"/>
      <c r="D823" s="32"/>
      <c r="E823" s="32"/>
      <c r="F823" s="32"/>
      <c r="G823" s="32"/>
      <c r="H823" s="52"/>
    </row>
    <row r="824" spans="1:8" x14ac:dyDescent="0.3">
      <c r="A824" s="31"/>
      <c r="B824" s="39"/>
      <c r="C824" s="32"/>
      <c r="D824" s="32"/>
      <c r="E824" s="32"/>
      <c r="F824" s="32"/>
      <c r="G824" s="32"/>
      <c r="H824" s="52"/>
    </row>
    <row r="825" spans="1:8" x14ac:dyDescent="0.3">
      <c r="A825" s="31"/>
      <c r="B825" s="39"/>
      <c r="C825" s="32"/>
      <c r="D825" s="32"/>
      <c r="E825" s="32"/>
      <c r="F825" s="32"/>
      <c r="G825" s="32"/>
      <c r="H825" s="52"/>
    </row>
    <row r="826" spans="1:8" x14ac:dyDescent="0.3">
      <c r="A826" s="31"/>
      <c r="B826" s="39"/>
      <c r="C826" s="32"/>
      <c r="D826" s="32"/>
      <c r="E826" s="32"/>
      <c r="F826" s="32"/>
      <c r="G826" s="32"/>
      <c r="H826" s="52"/>
    </row>
    <row r="827" spans="1:8" x14ac:dyDescent="0.3">
      <c r="A827" s="31"/>
      <c r="B827" s="39"/>
      <c r="C827" s="32"/>
      <c r="D827" s="32"/>
      <c r="E827" s="32"/>
      <c r="F827" s="32"/>
      <c r="G827" s="32"/>
      <c r="H827" s="52"/>
    </row>
    <row r="828" spans="1:8" x14ac:dyDescent="0.3">
      <c r="A828" s="31"/>
      <c r="B828" s="39"/>
      <c r="C828" s="32"/>
      <c r="D828" s="32"/>
      <c r="E828" s="32"/>
      <c r="F828" s="32"/>
      <c r="G828" s="32"/>
      <c r="H828" s="52"/>
    </row>
    <row r="829" spans="1:8" x14ac:dyDescent="0.3">
      <c r="A829" s="31"/>
      <c r="B829" s="39"/>
      <c r="C829" s="32"/>
      <c r="D829" s="32"/>
      <c r="E829" s="32"/>
      <c r="F829" s="32"/>
      <c r="G829" s="32"/>
      <c r="H829" s="52"/>
    </row>
    <row r="830" spans="1:8" x14ac:dyDescent="0.3">
      <c r="A830" s="31"/>
      <c r="B830" s="39"/>
      <c r="C830" s="32"/>
      <c r="D830" s="32"/>
      <c r="E830" s="32"/>
      <c r="F830" s="32"/>
      <c r="G830" s="32"/>
      <c r="H830" s="52"/>
    </row>
    <row r="831" spans="1:8" x14ac:dyDescent="0.3">
      <c r="A831" s="31"/>
      <c r="B831" s="39"/>
      <c r="C831" s="32"/>
      <c r="D831" s="32"/>
      <c r="E831" s="32"/>
      <c r="F831" s="32"/>
      <c r="G831" s="32"/>
      <c r="H831" s="52"/>
    </row>
    <row r="832" spans="1:8" x14ac:dyDescent="0.3">
      <c r="A832" s="31"/>
      <c r="B832" s="39"/>
      <c r="C832" s="32"/>
      <c r="D832" s="32"/>
      <c r="E832" s="32"/>
      <c r="F832" s="32"/>
      <c r="G832" s="32"/>
      <c r="H832" s="52"/>
    </row>
    <row r="833" spans="1:8" x14ac:dyDescent="0.3">
      <c r="A833" s="31"/>
      <c r="B833" s="39"/>
      <c r="C833" s="32"/>
      <c r="D833" s="32"/>
      <c r="E833" s="32"/>
      <c r="F833" s="32"/>
      <c r="G833" s="32"/>
      <c r="H833" s="52"/>
    </row>
    <row r="834" spans="1:8" x14ac:dyDescent="0.3">
      <c r="A834" s="31"/>
      <c r="B834" s="39"/>
      <c r="C834" s="32"/>
      <c r="D834" s="32"/>
      <c r="E834" s="32"/>
      <c r="F834" s="32"/>
      <c r="G834" s="32"/>
      <c r="H834" s="52"/>
    </row>
    <row r="835" spans="1:8" x14ac:dyDescent="0.3">
      <c r="A835" s="31"/>
      <c r="B835" s="39"/>
      <c r="C835" s="32"/>
      <c r="D835" s="32"/>
      <c r="E835" s="32"/>
      <c r="F835" s="32"/>
      <c r="G835" s="32"/>
      <c r="H835" s="52"/>
    </row>
    <row r="836" spans="1:8" x14ac:dyDescent="0.3">
      <c r="A836" s="31"/>
      <c r="B836" s="39"/>
      <c r="C836" s="32"/>
      <c r="D836" s="32"/>
      <c r="E836" s="32"/>
      <c r="F836" s="32"/>
      <c r="G836" s="32"/>
      <c r="H836" s="52"/>
    </row>
    <row r="837" spans="1:8" x14ac:dyDescent="0.3">
      <c r="A837" s="31"/>
      <c r="B837" s="39"/>
      <c r="C837" s="32"/>
      <c r="D837" s="32"/>
      <c r="E837" s="32"/>
      <c r="F837" s="32"/>
      <c r="G837" s="32"/>
      <c r="H837" s="52"/>
    </row>
    <row r="838" spans="1:8" x14ac:dyDescent="0.3">
      <c r="A838" s="31"/>
      <c r="B838" s="39"/>
      <c r="C838" s="32"/>
      <c r="D838" s="32"/>
      <c r="E838" s="32"/>
      <c r="F838" s="32"/>
      <c r="G838" s="32"/>
      <c r="H838" s="52"/>
    </row>
    <row r="839" spans="1:8" x14ac:dyDescent="0.3">
      <c r="A839" s="31"/>
      <c r="B839" s="39"/>
      <c r="C839" s="32"/>
      <c r="D839" s="32"/>
      <c r="E839" s="32"/>
      <c r="F839" s="32"/>
      <c r="G839" s="32"/>
      <c r="H839" s="52"/>
    </row>
    <row r="840" spans="1:8" x14ac:dyDescent="0.3">
      <c r="A840" s="31"/>
      <c r="B840" s="39"/>
      <c r="C840" s="32"/>
      <c r="D840" s="32"/>
      <c r="E840" s="32"/>
      <c r="F840" s="32"/>
      <c r="G840" s="32"/>
      <c r="H840" s="52"/>
    </row>
    <row r="841" spans="1:8" x14ac:dyDescent="0.3">
      <c r="A841" s="31"/>
      <c r="B841" s="39"/>
      <c r="C841" s="32"/>
      <c r="D841" s="32"/>
      <c r="E841" s="32"/>
      <c r="F841" s="32"/>
      <c r="G841" s="32"/>
      <c r="H841" s="52"/>
    </row>
    <row r="842" spans="1:8" x14ac:dyDescent="0.3">
      <c r="A842" s="31"/>
      <c r="B842" s="39"/>
      <c r="C842" s="32"/>
      <c r="D842" s="32"/>
      <c r="E842" s="32"/>
      <c r="F842" s="32"/>
      <c r="G842" s="32"/>
      <c r="H842" s="52"/>
    </row>
    <row r="843" spans="1:8" x14ac:dyDescent="0.3">
      <c r="A843" s="31"/>
      <c r="B843" s="39"/>
      <c r="C843" s="32"/>
      <c r="D843" s="32"/>
      <c r="E843" s="32"/>
      <c r="F843" s="32"/>
      <c r="G843" s="32"/>
      <c r="H843" s="52"/>
    </row>
    <row r="844" spans="1:8" x14ac:dyDescent="0.3">
      <c r="A844" s="31"/>
      <c r="B844" s="39"/>
      <c r="C844" s="32"/>
      <c r="D844" s="32"/>
      <c r="E844" s="32"/>
      <c r="F844" s="32"/>
      <c r="G844" s="32"/>
      <c r="H844" s="52"/>
    </row>
    <row r="845" spans="1:8" x14ac:dyDescent="0.3">
      <c r="A845" s="31"/>
      <c r="B845" s="39"/>
      <c r="C845" s="32"/>
      <c r="D845" s="32"/>
      <c r="E845" s="32"/>
      <c r="F845" s="32"/>
      <c r="G845" s="32"/>
      <c r="H845" s="52"/>
    </row>
    <row r="846" spans="1:8" x14ac:dyDescent="0.3">
      <c r="A846" s="31"/>
      <c r="B846" s="39"/>
      <c r="C846" s="32"/>
      <c r="D846" s="32"/>
      <c r="E846" s="32"/>
      <c r="F846" s="32"/>
      <c r="G846" s="32"/>
      <c r="H846" s="52"/>
    </row>
    <row r="847" spans="1:8" x14ac:dyDescent="0.3">
      <c r="A847" s="31"/>
      <c r="B847" s="39"/>
      <c r="C847" s="32"/>
      <c r="D847" s="32"/>
      <c r="E847" s="32"/>
      <c r="F847" s="32"/>
      <c r="G847" s="32"/>
      <c r="H847" s="52"/>
    </row>
    <row r="848" spans="1:8" x14ac:dyDescent="0.3">
      <c r="A848" s="31"/>
      <c r="B848" s="39"/>
      <c r="C848" s="32"/>
      <c r="D848" s="32"/>
      <c r="E848" s="32"/>
      <c r="F848" s="32"/>
      <c r="G848" s="32"/>
      <c r="H848" s="52"/>
    </row>
    <row r="849" spans="1:8" x14ac:dyDescent="0.3">
      <c r="A849" s="31"/>
      <c r="B849" s="39"/>
      <c r="C849" s="32"/>
      <c r="D849" s="32"/>
      <c r="E849" s="32"/>
      <c r="F849" s="32"/>
      <c r="G849" s="32"/>
      <c r="H849" s="52"/>
    </row>
    <row r="850" spans="1:8" x14ac:dyDescent="0.3">
      <c r="A850" s="31"/>
      <c r="B850" s="39"/>
      <c r="C850" s="32"/>
      <c r="D850" s="32"/>
      <c r="E850" s="32"/>
      <c r="F850" s="32"/>
      <c r="G850" s="32"/>
      <c r="H850" s="52"/>
    </row>
    <row r="851" spans="1:8" x14ac:dyDescent="0.3">
      <c r="A851" s="31"/>
      <c r="B851" s="39"/>
      <c r="C851" s="32"/>
      <c r="D851" s="32"/>
      <c r="E851" s="32"/>
      <c r="F851" s="32"/>
      <c r="G851" s="32"/>
      <c r="H851" s="52"/>
    </row>
    <row r="852" spans="1:8" x14ac:dyDescent="0.3">
      <c r="A852" s="31"/>
      <c r="B852" s="39"/>
      <c r="C852" s="32"/>
      <c r="D852" s="32"/>
      <c r="E852" s="32"/>
      <c r="F852" s="32"/>
      <c r="G852" s="32"/>
      <c r="H852" s="52"/>
    </row>
    <row r="853" spans="1:8" x14ac:dyDescent="0.3">
      <c r="A853" s="31"/>
      <c r="B853" s="39"/>
      <c r="C853" s="32"/>
      <c r="D853" s="32"/>
      <c r="E853" s="32"/>
      <c r="F853" s="32"/>
      <c r="G853" s="32"/>
      <c r="H853" s="52"/>
    </row>
    <row r="854" spans="1:8" x14ac:dyDescent="0.3">
      <c r="A854" s="31"/>
      <c r="B854" s="39"/>
      <c r="C854" s="32"/>
      <c r="D854" s="32"/>
      <c r="E854" s="32"/>
      <c r="F854" s="32"/>
      <c r="G854" s="32"/>
      <c r="H854" s="52"/>
    </row>
    <row r="855" spans="1:8" x14ac:dyDescent="0.3">
      <c r="A855" s="31"/>
      <c r="B855" s="39"/>
      <c r="C855" s="32"/>
      <c r="D855" s="32"/>
      <c r="E855" s="32"/>
      <c r="F855" s="32"/>
      <c r="G855" s="32"/>
      <c r="H855" s="52"/>
    </row>
    <row r="856" spans="1:8" x14ac:dyDescent="0.3">
      <c r="A856" s="31"/>
      <c r="B856" s="39"/>
      <c r="C856" s="32"/>
      <c r="D856" s="32"/>
      <c r="E856" s="32"/>
      <c r="F856" s="32"/>
      <c r="G856" s="32"/>
      <c r="H856" s="52"/>
    </row>
    <row r="857" spans="1:8" x14ac:dyDescent="0.3">
      <c r="A857" s="31"/>
      <c r="B857" s="39"/>
      <c r="C857" s="32"/>
      <c r="D857" s="32"/>
      <c r="E857" s="32"/>
      <c r="F857" s="32"/>
      <c r="G857" s="32"/>
      <c r="H857" s="52"/>
    </row>
    <row r="858" spans="1:8" x14ac:dyDescent="0.3">
      <c r="A858" s="31"/>
      <c r="B858" s="39"/>
      <c r="C858" s="32"/>
      <c r="D858" s="32"/>
      <c r="E858" s="32"/>
      <c r="F858" s="32"/>
      <c r="G858" s="32"/>
      <c r="H858" s="52"/>
    </row>
    <row r="859" spans="1:8" x14ac:dyDescent="0.3">
      <c r="A859" s="31"/>
      <c r="B859" s="39"/>
      <c r="C859" s="32"/>
      <c r="D859" s="32"/>
      <c r="E859" s="32"/>
      <c r="F859" s="32"/>
      <c r="G859" s="32"/>
      <c r="H859" s="52"/>
    </row>
    <row r="860" spans="1:8" x14ac:dyDescent="0.3">
      <c r="A860" s="31"/>
      <c r="B860" s="39"/>
      <c r="C860" s="32"/>
      <c r="D860" s="32"/>
      <c r="E860" s="32"/>
      <c r="F860" s="32"/>
      <c r="G860" s="32"/>
      <c r="H860" s="52"/>
    </row>
    <row r="861" spans="1:8" x14ac:dyDescent="0.3">
      <c r="A861" s="31"/>
      <c r="B861" s="39"/>
      <c r="C861" s="32"/>
      <c r="D861" s="32"/>
      <c r="E861" s="32"/>
      <c r="F861" s="32"/>
      <c r="G861" s="32"/>
      <c r="H861" s="52"/>
    </row>
    <row r="862" spans="1:8" x14ac:dyDescent="0.3">
      <c r="A862" s="31"/>
      <c r="B862" s="39"/>
      <c r="C862" s="32"/>
      <c r="D862" s="32"/>
      <c r="E862" s="32"/>
      <c r="F862" s="32"/>
      <c r="G862" s="32"/>
      <c r="H862" s="52"/>
    </row>
    <row r="863" spans="1:8" x14ac:dyDescent="0.3">
      <c r="A863" s="31"/>
      <c r="B863" s="39"/>
      <c r="C863" s="32"/>
      <c r="D863" s="32"/>
      <c r="E863" s="32"/>
      <c r="F863" s="32"/>
      <c r="G863" s="32"/>
      <c r="H863" s="52"/>
    </row>
    <row r="864" spans="1:8" x14ac:dyDescent="0.3">
      <c r="A864" s="31"/>
      <c r="B864" s="39"/>
      <c r="C864" s="32"/>
      <c r="D864" s="32"/>
      <c r="E864" s="32"/>
      <c r="F864" s="32"/>
      <c r="G864" s="32"/>
      <c r="H864" s="52"/>
    </row>
    <row r="865" spans="1:8" x14ac:dyDescent="0.3">
      <c r="A865" s="31"/>
      <c r="B865" s="39"/>
      <c r="C865" s="32"/>
      <c r="D865" s="32"/>
      <c r="E865" s="32"/>
      <c r="F865" s="32"/>
      <c r="G865" s="32"/>
      <c r="H865" s="52"/>
    </row>
    <row r="866" spans="1:8" x14ac:dyDescent="0.3">
      <c r="A866" s="31"/>
      <c r="B866" s="39"/>
      <c r="C866" s="32"/>
      <c r="D866" s="32"/>
      <c r="E866" s="32"/>
      <c r="F866" s="32"/>
      <c r="G866" s="32"/>
      <c r="H866" s="52"/>
    </row>
    <row r="867" spans="1:8" x14ac:dyDescent="0.3">
      <c r="A867" s="31"/>
      <c r="B867" s="39"/>
      <c r="C867" s="32"/>
      <c r="D867" s="32"/>
      <c r="E867" s="32"/>
      <c r="F867" s="32"/>
      <c r="G867" s="32"/>
      <c r="H867" s="52"/>
    </row>
    <row r="868" spans="1:8" x14ac:dyDescent="0.3">
      <c r="A868" s="31"/>
      <c r="B868" s="39"/>
      <c r="C868" s="32"/>
      <c r="D868" s="32"/>
      <c r="E868" s="32"/>
      <c r="F868" s="32"/>
      <c r="G868" s="32"/>
      <c r="H868" s="52"/>
    </row>
    <row r="869" spans="1:8" x14ac:dyDescent="0.3">
      <c r="A869" s="31"/>
      <c r="B869" s="39"/>
      <c r="C869" s="32"/>
      <c r="D869" s="32"/>
      <c r="E869" s="32"/>
      <c r="F869" s="32"/>
      <c r="G869" s="32"/>
      <c r="H869" s="52"/>
    </row>
    <row r="870" spans="1:8" x14ac:dyDescent="0.3">
      <c r="A870" s="31"/>
      <c r="B870" s="39"/>
      <c r="C870" s="32"/>
      <c r="D870" s="32"/>
      <c r="E870" s="32"/>
      <c r="F870" s="32"/>
      <c r="G870" s="32"/>
      <c r="H870" s="52"/>
    </row>
    <row r="871" spans="1:8" x14ac:dyDescent="0.3">
      <c r="A871" s="31"/>
      <c r="B871" s="39"/>
      <c r="C871" s="32"/>
      <c r="D871" s="32"/>
      <c r="E871" s="32"/>
      <c r="F871" s="32"/>
      <c r="G871" s="32"/>
      <c r="H871" s="52"/>
    </row>
    <row r="872" spans="1:8" x14ac:dyDescent="0.3">
      <c r="A872" s="31"/>
      <c r="B872" s="39"/>
      <c r="C872" s="32"/>
      <c r="D872" s="32"/>
      <c r="E872" s="32"/>
      <c r="F872" s="32"/>
      <c r="G872" s="32"/>
      <c r="H872" s="52"/>
    </row>
    <row r="873" spans="1:8" x14ac:dyDescent="0.3">
      <c r="A873" s="31"/>
      <c r="B873" s="39"/>
      <c r="C873" s="32"/>
      <c r="D873" s="32"/>
      <c r="E873" s="32"/>
      <c r="F873" s="32"/>
      <c r="G873" s="32"/>
      <c r="H873" s="52"/>
    </row>
    <row r="874" spans="1:8" x14ac:dyDescent="0.3">
      <c r="A874" s="31"/>
      <c r="B874" s="39"/>
      <c r="C874" s="32"/>
      <c r="D874" s="32"/>
      <c r="E874" s="32"/>
      <c r="F874" s="32"/>
      <c r="G874" s="32"/>
      <c r="H874" s="52"/>
    </row>
    <row r="875" spans="1:8" x14ac:dyDescent="0.3">
      <c r="A875" s="31"/>
      <c r="B875" s="39"/>
      <c r="C875" s="32"/>
      <c r="D875" s="32"/>
      <c r="E875" s="32"/>
      <c r="F875" s="32"/>
      <c r="G875" s="32"/>
      <c r="H875" s="52"/>
    </row>
    <row r="876" spans="1:8" x14ac:dyDescent="0.3">
      <c r="A876" s="31"/>
      <c r="B876" s="39"/>
      <c r="C876" s="32"/>
      <c r="D876" s="32"/>
      <c r="E876" s="32"/>
      <c r="F876" s="32"/>
      <c r="G876" s="32"/>
      <c r="H876" s="52"/>
    </row>
    <row r="877" spans="1:8" x14ac:dyDescent="0.3">
      <c r="A877" s="31"/>
      <c r="B877" s="39"/>
      <c r="C877" s="32"/>
      <c r="D877" s="32"/>
      <c r="E877" s="32"/>
      <c r="F877" s="32"/>
      <c r="G877" s="32"/>
      <c r="H877" s="52"/>
    </row>
    <row r="878" spans="1:8" x14ac:dyDescent="0.3">
      <c r="A878" s="31"/>
      <c r="B878" s="39"/>
      <c r="C878" s="32"/>
      <c r="D878" s="32"/>
      <c r="E878" s="32"/>
      <c r="F878" s="32"/>
      <c r="G878" s="32"/>
      <c r="H878" s="52"/>
    </row>
    <row r="879" spans="1:8" x14ac:dyDescent="0.3">
      <c r="A879" s="31"/>
      <c r="B879" s="39"/>
      <c r="C879" s="32"/>
      <c r="D879" s="32"/>
      <c r="E879" s="32"/>
      <c r="F879" s="32"/>
      <c r="G879" s="32"/>
      <c r="H879" s="52"/>
    </row>
    <row r="880" spans="1:8" x14ac:dyDescent="0.3">
      <c r="A880" s="31"/>
      <c r="B880" s="39"/>
      <c r="C880" s="32"/>
      <c r="D880" s="32"/>
      <c r="E880" s="32"/>
      <c r="F880" s="32"/>
      <c r="G880" s="32"/>
      <c r="H880" s="52"/>
    </row>
    <row r="881" spans="1:8" x14ac:dyDescent="0.3">
      <c r="A881" s="31"/>
      <c r="B881" s="39"/>
      <c r="C881" s="32"/>
      <c r="D881" s="32"/>
      <c r="E881" s="32"/>
      <c r="F881" s="32"/>
      <c r="G881" s="32"/>
      <c r="H881" s="52"/>
    </row>
    <row r="882" spans="1:8" x14ac:dyDescent="0.3">
      <c r="A882" s="31"/>
      <c r="B882" s="39"/>
      <c r="C882" s="32"/>
      <c r="D882" s="32"/>
      <c r="E882" s="32"/>
      <c r="F882" s="32"/>
      <c r="G882" s="32"/>
      <c r="H882" s="52"/>
    </row>
    <row r="883" spans="1:8" x14ac:dyDescent="0.3">
      <c r="A883" s="31"/>
      <c r="B883" s="39"/>
      <c r="C883" s="32"/>
      <c r="D883" s="32"/>
      <c r="E883" s="32"/>
      <c r="F883" s="32"/>
      <c r="G883" s="32"/>
      <c r="H883" s="52"/>
    </row>
    <row r="884" spans="1:8" x14ac:dyDescent="0.3">
      <c r="A884" s="31"/>
      <c r="B884" s="39"/>
      <c r="C884" s="32"/>
      <c r="D884" s="32"/>
      <c r="E884" s="32"/>
      <c r="F884" s="32"/>
      <c r="G884" s="32"/>
      <c r="H884" s="52"/>
    </row>
    <row r="885" spans="1:8" x14ac:dyDescent="0.3">
      <c r="A885" s="31"/>
      <c r="B885" s="39"/>
      <c r="C885" s="32"/>
      <c r="D885" s="32"/>
      <c r="E885" s="32"/>
      <c r="F885" s="32"/>
      <c r="G885" s="32"/>
      <c r="H885" s="52"/>
    </row>
    <row r="886" spans="1:8" x14ac:dyDescent="0.3">
      <c r="A886" s="31"/>
      <c r="B886" s="39"/>
      <c r="C886" s="32"/>
      <c r="D886" s="32"/>
      <c r="E886" s="32"/>
      <c r="F886" s="32"/>
      <c r="G886" s="32"/>
      <c r="H886" s="52"/>
    </row>
    <row r="887" spans="1:8" x14ac:dyDescent="0.3">
      <c r="A887" s="31"/>
      <c r="B887" s="39"/>
      <c r="C887" s="32"/>
      <c r="D887" s="32"/>
      <c r="E887" s="32"/>
      <c r="F887" s="32"/>
      <c r="G887" s="32"/>
      <c r="H887" s="52"/>
    </row>
    <row r="888" spans="1:8" x14ac:dyDescent="0.3">
      <c r="A888" s="31"/>
      <c r="B888" s="39"/>
      <c r="C888" s="32"/>
      <c r="D888" s="32"/>
      <c r="E888" s="32"/>
      <c r="F888" s="32"/>
      <c r="G888" s="32"/>
      <c r="H888" s="52"/>
    </row>
    <row r="889" spans="1:8" x14ac:dyDescent="0.3">
      <c r="A889" s="31"/>
      <c r="B889" s="39"/>
      <c r="C889" s="32"/>
      <c r="D889" s="32"/>
      <c r="E889" s="32"/>
      <c r="F889" s="32"/>
      <c r="G889" s="32"/>
      <c r="H889" s="52"/>
    </row>
    <row r="890" spans="1:8" x14ac:dyDescent="0.3">
      <c r="A890" s="31"/>
      <c r="B890" s="39"/>
      <c r="C890" s="32"/>
      <c r="D890" s="32"/>
      <c r="E890" s="32"/>
      <c r="F890" s="32"/>
      <c r="G890" s="32"/>
      <c r="H890" s="52"/>
    </row>
    <row r="891" spans="1:8" x14ac:dyDescent="0.3">
      <c r="A891" s="31"/>
      <c r="B891" s="39"/>
      <c r="C891" s="32"/>
      <c r="D891" s="32"/>
      <c r="E891" s="32"/>
      <c r="F891" s="32"/>
      <c r="G891" s="32"/>
      <c r="H891" s="52"/>
    </row>
    <row r="892" spans="1:8" x14ac:dyDescent="0.3">
      <c r="A892" s="31"/>
      <c r="B892" s="39"/>
      <c r="C892" s="32"/>
      <c r="D892" s="32"/>
      <c r="E892" s="32"/>
      <c r="F892" s="32"/>
      <c r="G892" s="32"/>
      <c r="H892" s="52"/>
    </row>
    <row r="893" spans="1:8" x14ac:dyDescent="0.3">
      <c r="A893" s="31"/>
      <c r="B893" s="39"/>
      <c r="C893" s="32"/>
      <c r="D893" s="32"/>
      <c r="E893" s="32"/>
      <c r="F893" s="32"/>
      <c r="G893" s="32"/>
      <c r="H893" s="52"/>
    </row>
    <row r="894" spans="1:8" x14ac:dyDescent="0.3">
      <c r="A894" s="31"/>
      <c r="B894" s="39"/>
      <c r="C894" s="32"/>
      <c r="D894" s="32"/>
      <c r="E894" s="32"/>
      <c r="F894" s="32"/>
      <c r="G894" s="32"/>
      <c r="H894" s="52"/>
    </row>
    <row r="895" spans="1:8" x14ac:dyDescent="0.3">
      <c r="A895" s="31"/>
      <c r="B895" s="39"/>
      <c r="C895" s="32"/>
      <c r="D895" s="32"/>
      <c r="E895" s="32"/>
      <c r="F895" s="32"/>
      <c r="G895" s="32"/>
      <c r="H895" s="52"/>
    </row>
    <row r="896" spans="1:8" x14ac:dyDescent="0.3">
      <c r="A896" s="31"/>
      <c r="B896" s="39"/>
      <c r="C896" s="32"/>
      <c r="D896" s="32"/>
      <c r="E896" s="32"/>
      <c r="F896" s="32"/>
      <c r="G896" s="32"/>
      <c r="H896" s="52"/>
    </row>
    <row r="897" spans="1:8" x14ac:dyDescent="0.3">
      <c r="A897" s="31"/>
      <c r="B897" s="39"/>
      <c r="C897" s="32"/>
      <c r="D897" s="32"/>
      <c r="E897" s="32"/>
      <c r="F897" s="32"/>
      <c r="G897" s="32"/>
      <c r="H897" s="52"/>
    </row>
    <row r="898" spans="1:8" x14ac:dyDescent="0.3">
      <c r="A898" s="31"/>
      <c r="B898" s="39"/>
      <c r="C898" s="32"/>
      <c r="D898" s="32"/>
      <c r="E898" s="32"/>
      <c r="F898" s="32"/>
      <c r="G898" s="32"/>
      <c r="H898" s="52"/>
    </row>
    <row r="899" spans="1:8" x14ac:dyDescent="0.3">
      <c r="A899" s="31"/>
      <c r="B899" s="39"/>
      <c r="C899" s="32"/>
      <c r="D899" s="32"/>
      <c r="E899" s="32"/>
      <c r="F899" s="32"/>
      <c r="G899" s="32"/>
      <c r="H899" s="52"/>
    </row>
    <row r="900" spans="1:8" x14ac:dyDescent="0.3">
      <c r="A900" s="31"/>
      <c r="B900" s="39"/>
      <c r="C900" s="32"/>
      <c r="D900" s="32"/>
      <c r="E900" s="32"/>
      <c r="F900" s="32"/>
      <c r="G900" s="32"/>
      <c r="H900" s="52"/>
    </row>
    <row r="901" spans="1:8" x14ac:dyDescent="0.3">
      <c r="A901" s="31"/>
      <c r="B901" s="39"/>
      <c r="C901" s="32"/>
      <c r="D901" s="32"/>
      <c r="E901" s="32"/>
      <c r="F901" s="32"/>
      <c r="G901" s="32"/>
      <c r="H901" s="52"/>
    </row>
    <row r="902" spans="1:8" x14ac:dyDescent="0.3">
      <c r="A902" s="31"/>
      <c r="B902" s="39"/>
      <c r="C902" s="32"/>
      <c r="D902" s="32"/>
      <c r="E902" s="32"/>
      <c r="F902" s="32"/>
      <c r="G902" s="32"/>
      <c r="H902" s="52"/>
    </row>
    <row r="903" spans="1:8" x14ac:dyDescent="0.3">
      <c r="A903" s="31"/>
      <c r="B903" s="39"/>
      <c r="C903" s="32"/>
      <c r="D903" s="32"/>
      <c r="E903" s="32"/>
      <c r="F903" s="32"/>
      <c r="G903" s="32"/>
      <c r="H903" s="52"/>
    </row>
    <row r="904" spans="1:8" x14ac:dyDescent="0.3">
      <c r="A904" s="31"/>
      <c r="B904" s="39"/>
      <c r="C904" s="32"/>
      <c r="D904" s="32"/>
      <c r="E904" s="32"/>
      <c r="F904" s="32"/>
      <c r="G904" s="32"/>
      <c r="H904" s="52"/>
    </row>
    <row r="905" spans="1:8" x14ac:dyDescent="0.3">
      <c r="A905" s="31"/>
      <c r="B905" s="39"/>
      <c r="C905" s="32"/>
      <c r="D905" s="32"/>
      <c r="E905" s="32"/>
      <c r="F905" s="32"/>
      <c r="G905" s="32"/>
      <c r="H905" s="52"/>
    </row>
    <row r="906" spans="1:8" x14ac:dyDescent="0.3">
      <c r="A906" s="31"/>
      <c r="B906" s="39"/>
      <c r="C906" s="32"/>
      <c r="D906" s="32"/>
      <c r="E906" s="32"/>
      <c r="F906" s="32"/>
      <c r="G906" s="32"/>
      <c r="H906" s="52"/>
    </row>
    <row r="907" spans="1:8" x14ac:dyDescent="0.3">
      <c r="A907" s="31"/>
      <c r="B907" s="39"/>
      <c r="C907" s="32"/>
      <c r="D907" s="32"/>
      <c r="E907" s="32"/>
      <c r="F907" s="32"/>
      <c r="G907" s="32"/>
      <c r="H907" s="52"/>
    </row>
    <row r="908" spans="1:8" x14ac:dyDescent="0.3">
      <c r="A908" s="31"/>
      <c r="B908" s="39"/>
      <c r="C908" s="32"/>
      <c r="D908" s="32"/>
      <c r="E908" s="32"/>
      <c r="F908" s="32"/>
      <c r="G908" s="32"/>
      <c r="H908" s="52"/>
    </row>
    <row r="909" spans="1:8" x14ac:dyDescent="0.3">
      <c r="A909" s="31"/>
      <c r="B909" s="39"/>
      <c r="C909" s="32"/>
      <c r="D909" s="32"/>
      <c r="E909" s="32"/>
      <c r="F909" s="32"/>
      <c r="G909" s="32"/>
      <c r="H909" s="52"/>
    </row>
    <row r="910" spans="1:8" x14ac:dyDescent="0.3">
      <c r="A910" s="31"/>
      <c r="B910" s="39"/>
      <c r="C910" s="32"/>
      <c r="D910" s="32"/>
      <c r="E910" s="32"/>
      <c r="F910" s="32"/>
      <c r="G910" s="32"/>
      <c r="H910" s="52"/>
    </row>
    <row r="911" spans="1:8" x14ac:dyDescent="0.3">
      <c r="A911" s="31"/>
      <c r="B911" s="39"/>
      <c r="C911" s="32"/>
      <c r="D911" s="32"/>
      <c r="E911" s="32"/>
      <c r="F911" s="32"/>
      <c r="G911" s="32"/>
      <c r="H911" s="52"/>
    </row>
    <row r="912" spans="1:8" x14ac:dyDescent="0.3">
      <c r="A912" s="31"/>
      <c r="B912" s="39"/>
      <c r="C912" s="32"/>
      <c r="D912" s="32"/>
      <c r="E912" s="32"/>
      <c r="F912" s="32"/>
      <c r="G912" s="32"/>
      <c r="H912" s="52"/>
    </row>
    <row r="913" spans="1:8" x14ac:dyDescent="0.3">
      <c r="A913" s="31"/>
      <c r="B913" s="39"/>
      <c r="C913" s="32"/>
      <c r="D913" s="32"/>
      <c r="E913" s="32"/>
      <c r="F913" s="32"/>
      <c r="G913" s="32"/>
      <c r="H913" s="52"/>
    </row>
    <row r="914" spans="1:8" x14ac:dyDescent="0.3">
      <c r="A914" s="31"/>
      <c r="B914" s="39"/>
      <c r="C914" s="32"/>
      <c r="D914" s="32"/>
      <c r="E914" s="32"/>
      <c r="F914" s="32"/>
      <c r="G914" s="32"/>
      <c r="H914" s="52"/>
    </row>
    <row r="915" spans="1:8" x14ac:dyDescent="0.3">
      <c r="A915" s="31"/>
      <c r="B915" s="39"/>
      <c r="C915" s="32"/>
      <c r="D915" s="32"/>
      <c r="E915" s="32"/>
      <c r="F915" s="32"/>
      <c r="G915" s="32"/>
      <c r="H915" s="52"/>
    </row>
    <row r="916" spans="1:8" x14ac:dyDescent="0.3">
      <c r="A916" s="31"/>
      <c r="B916" s="39"/>
      <c r="C916" s="32"/>
      <c r="D916" s="32"/>
      <c r="E916" s="32"/>
      <c r="F916" s="32"/>
      <c r="G916" s="32"/>
      <c r="H916" s="52"/>
    </row>
    <row r="917" spans="1:8" x14ac:dyDescent="0.3">
      <c r="A917" s="31"/>
      <c r="B917" s="39"/>
      <c r="C917" s="32"/>
      <c r="D917" s="32"/>
      <c r="E917" s="32"/>
      <c r="F917" s="32"/>
      <c r="G917" s="32"/>
      <c r="H917" s="52"/>
    </row>
    <row r="918" spans="1:8" x14ac:dyDescent="0.3">
      <c r="A918" s="31"/>
      <c r="B918" s="39"/>
      <c r="C918" s="32"/>
      <c r="D918" s="32"/>
      <c r="E918" s="32"/>
      <c r="F918" s="32"/>
      <c r="G918" s="32"/>
      <c r="H918" s="52"/>
    </row>
    <row r="919" spans="1:8" x14ac:dyDescent="0.3">
      <c r="A919" s="31"/>
      <c r="B919" s="39"/>
      <c r="C919" s="32"/>
      <c r="D919" s="32"/>
      <c r="E919" s="32"/>
      <c r="F919" s="32"/>
      <c r="G919" s="32"/>
      <c r="H919" s="52"/>
    </row>
    <row r="920" spans="1:8" x14ac:dyDescent="0.3">
      <c r="A920" s="31"/>
      <c r="B920" s="39"/>
      <c r="C920" s="32"/>
      <c r="D920" s="32"/>
      <c r="E920" s="32"/>
      <c r="F920" s="32"/>
      <c r="G920" s="32"/>
      <c r="H920" s="52"/>
    </row>
    <row r="921" spans="1:8" x14ac:dyDescent="0.3">
      <c r="A921" s="31"/>
      <c r="B921" s="39"/>
      <c r="C921" s="32"/>
      <c r="D921" s="32"/>
      <c r="E921" s="32"/>
      <c r="F921" s="32"/>
      <c r="G921" s="32"/>
      <c r="H921" s="52"/>
    </row>
    <row r="922" spans="1:8" x14ac:dyDescent="0.3">
      <c r="A922" s="31"/>
      <c r="B922" s="39"/>
      <c r="C922" s="32"/>
      <c r="D922" s="32"/>
      <c r="E922" s="32"/>
      <c r="F922" s="32"/>
      <c r="G922" s="32"/>
      <c r="H922" s="52"/>
    </row>
    <row r="923" spans="1:8" x14ac:dyDescent="0.3">
      <c r="A923" s="31"/>
      <c r="B923" s="39"/>
      <c r="C923" s="32"/>
      <c r="D923" s="32"/>
      <c r="E923" s="32"/>
      <c r="F923" s="32"/>
      <c r="G923" s="32"/>
      <c r="H923" s="52"/>
    </row>
    <row r="924" spans="1:8" x14ac:dyDescent="0.3">
      <c r="A924" s="31"/>
      <c r="B924" s="39"/>
      <c r="C924" s="32"/>
      <c r="D924" s="32"/>
      <c r="E924" s="32"/>
      <c r="F924" s="32"/>
      <c r="G924" s="32"/>
      <c r="H924" s="52"/>
    </row>
    <row r="925" spans="1:8" x14ac:dyDescent="0.3">
      <c r="A925" s="31"/>
      <c r="B925" s="39"/>
      <c r="C925" s="32"/>
      <c r="D925" s="32"/>
      <c r="E925" s="32"/>
      <c r="F925" s="32"/>
      <c r="G925" s="32"/>
      <c r="H925" s="52"/>
    </row>
    <row r="926" spans="1:8" x14ac:dyDescent="0.3">
      <c r="A926" s="31"/>
      <c r="B926" s="39"/>
      <c r="C926" s="32"/>
      <c r="D926" s="32"/>
      <c r="E926" s="32"/>
      <c r="F926" s="32"/>
      <c r="G926" s="32"/>
      <c r="H926" s="52"/>
    </row>
    <row r="927" spans="1:8" x14ac:dyDescent="0.3">
      <c r="A927" s="31"/>
      <c r="B927" s="39"/>
      <c r="C927" s="32"/>
      <c r="D927" s="32"/>
      <c r="E927" s="32"/>
      <c r="F927" s="32"/>
      <c r="G927" s="32"/>
      <c r="H927" s="52"/>
    </row>
    <row r="928" spans="1:8" x14ac:dyDescent="0.3">
      <c r="A928" s="31"/>
      <c r="B928" s="39"/>
      <c r="C928" s="32"/>
      <c r="D928" s="32"/>
      <c r="E928" s="32"/>
      <c r="F928" s="32"/>
      <c r="G928" s="32"/>
      <c r="H928" s="52"/>
    </row>
    <row r="929" spans="1:8" x14ac:dyDescent="0.3">
      <c r="A929" s="31"/>
      <c r="B929" s="39"/>
      <c r="C929" s="32"/>
      <c r="D929" s="32"/>
      <c r="E929" s="32"/>
      <c r="F929" s="32"/>
      <c r="G929" s="32"/>
      <c r="H929" s="52"/>
    </row>
    <row r="930" spans="1:8" x14ac:dyDescent="0.3">
      <c r="A930" s="31"/>
      <c r="B930" s="39"/>
      <c r="C930" s="32"/>
      <c r="D930" s="32"/>
      <c r="E930" s="32"/>
      <c r="F930" s="32"/>
      <c r="G930" s="32"/>
      <c r="H930" s="52"/>
    </row>
    <row r="931" spans="1:8" x14ac:dyDescent="0.3">
      <c r="A931" s="31"/>
      <c r="B931" s="39"/>
      <c r="C931" s="32"/>
      <c r="D931" s="32"/>
      <c r="E931" s="32"/>
      <c r="F931" s="32"/>
      <c r="G931" s="32"/>
      <c r="H931" s="52"/>
    </row>
    <row r="932" spans="1:8" x14ac:dyDescent="0.3">
      <c r="A932" s="31"/>
      <c r="B932" s="39"/>
      <c r="C932" s="32"/>
      <c r="D932" s="32"/>
      <c r="E932" s="32"/>
      <c r="F932" s="32"/>
      <c r="G932" s="32"/>
      <c r="H932" s="52"/>
    </row>
    <row r="933" spans="1:8" x14ac:dyDescent="0.3">
      <c r="A933" s="31"/>
      <c r="B933" s="39"/>
      <c r="C933" s="32"/>
      <c r="D933" s="32"/>
      <c r="E933" s="32"/>
      <c r="F933" s="32"/>
      <c r="G933" s="32"/>
      <c r="H933" s="52"/>
    </row>
    <row r="934" spans="1:8" x14ac:dyDescent="0.3">
      <c r="A934" s="31"/>
      <c r="B934" s="39"/>
      <c r="C934" s="32"/>
      <c r="D934" s="32"/>
      <c r="E934" s="32"/>
      <c r="F934" s="32"/>
      <c r="G934" s="32"/>
      <c r="H934" s="52"/>
    </row>
    <row r="935" spans="1:8" x14ac:dyDescent="0.3">
      <c r="A935" s="31"/>
      <c r="B935" s="39"/>
      <c r="C935" s="32"/>
      <c r="D935" s="32"/>
      <c r="E935" s="32"/>
      <c r="F935" s="32"/>
      <c r="G935" s="32"/>
      <c r="H935" s="52"/>
    </row>
    <row r="936" spans="1:8" x14ac:dyDescent="0.3">
      <c r="A936" s="31"/>
      <c r="B936" s="39"/>
      <c r="C936" s="32"/>
      <c r="D936" s="32"/>
      <c r="E936" s="32"/>
      <c r="F936" s="32"/>
      <c r="G936" s="32"/>
      <c r="H936" s="52"/>
    </row>
    <row r="937" spans="1:8" x14ac:dyDescent="0.3">
      <c r="A937" s="31"/>
      <c r="B937" s="39"/>
      <c r="C937" s="32"/>
      <c r="D937" s="32"/>
      <c r="E937" s="32"/>
      <c r="F937" s="32"/>
      <c r="G937" s="32"/>
      <c r="H937" s="52"/>
    </row>
    <row r="938" spans="1:8" x14ac:dyDescent="0.3">
      <c r="A938" s="31"/>
      <c r="B938" s="39"/>
      <c r="C938" s="32"/>
      <c r="D938" s="32"/>
      <c r="E938" s="32"/>
      <c r="F938" s="32"/>
      <c r="G938" s="32"/>
      <c r="H938" s="52"/>
    </row>
    <row r="939" spans="1:8" x14ac:dyDescent="0.3">
      <c r="A939" s="31"/>
      <c r="B939" s="39"/>
      <c r="C939" s="32"/>
      <c r="D939" s="32"/>
      <c r="E939" s="32"/>
      <c r="F939" s="32"/>
      <c r="G939" s="32"/>
      <c r="H939" s="52"/>
    </row>
    <row r="940" spans="1:8" x14ac:dyDescent="0.3">
      <c r="A940" s="31"/>
      <c r="B940" s="39"/>
      <c r="C940" s="32"/>
      <c r="D940" s="32"/>
      <c r="E940" s="32"/>
      <c r="F940" s="32"/>
      <c r="G940" s="32"/>
      <c r="H940" s="52"/>
    </row>
    <row r="941" spans="1:8" x14ac:dyDescent="0.3">
      <c r="A941" s="31"/>
      <c r="B941" s="39"/>
      <c r="C941" s="32"/>
      <c r="D941" s="32"/>
      <c r="E941" s="32"/>
      <c r="F941" s="32"/>
      <c r="G941" s="32"/>
      <c r="H941" s="52"/>
    </row>
    <row r="942" spans="1:8" x14ac:dyDescent="0.3">
      <c r="A942" s="31"/>
      <c r="B942" s="39"/>
      <c r="C942" s="32"/>
      <c r="D942" s="32"/>
      <c r="E942" s="32"/>
      <c r="F942" s="32"/>
      <c r="G942" s="32"/>
      <c r="H942" s="52"/>
    </row>
    <row r="943" spans="1:8" x14ac:dyDescent="0.3">
      <c r="A943" s="31"/>
      <c r="B943" s="39"/>
      <c r="C943" s="32"/>
      <c r="D943" s="32"/>
      <c r="E943" s="32"/>
      <c r="F943" s="32"/>
      <c r="G943" s="32"/>
      <c r="H943" s="52"/>
    </row>
    <row r="944" spans="1:8" x14ac:dyDescent="0.3">
      <c r="A944" s="31"/>
      <c r="B944" s="39"/>
      <c r="C944" s="32"/>
      <c r="D944" s="32"/>
      <c r="E944" s="32"/>
      <c r="F944" s="32"/>
      <c r="G944" s="32"/>
      <c r="H944" s="52"/>
    </row>
    <row r="945" spans="1:8" x14ac:dyDescent="0.3">
      <c r="A945" s="31"/>
      <c r="B945" s="39"/>
      <c r="C945" s="32"/>
      <c r="D945" s="32"/>
      <c r="E945" s="32"/>
      <c r="F945" s="32"/>
      <c r="G945" s="32"/>
      <c r="H945" s="52"/>
    </row>
    <row r="946" spans="1:8" x14ac:dyDescent="0.3">
      <c r="A946" s="31"/>
      <c r="B946" s="39"/>
      <c r="C946" s="32"/>
      <c r="D946" s="32"/>
      <c r="E946" s="32"/>
      <c r="F946" s="32"/>
      <c r="G946" s="32"/>
      <c r="H946" s="52"/>
    </row>
    <row r="947" spans="1:8" x14ac:dyDescent="0.3">
      <c r="A947" s="31"/>
      <c r="B947" s="39"/>
      <c r="C947" s="32"/>
      <c r="D947" s="32"/>
      <c r="E947" s="32"/>
      <c r="F947" s="32"/>
      <c r="G947" s="32"/>
      <c r="H947" s="52"/>
    </row>
    <row r="948" spans="1:8" x14ac:dyDescent="0.3">
      <c r="A948" s="31"/>
      <c r="B948" s="39"/>
      <c r="C948" s="32"/>
      <c r="D948" s="32"/>
      <c r="E948" s="32"/>
      <c r="F948" s="32"/>
      <c r="G948" s="32"/>
      <c r="H948" s="52"/>
    </row>
    <row r="949" spans="1:8" x14ac:dyDescent="0.3">
      <c r="A949" s="31"/>
      <c r="B949" s="39"/>
      <c r="C949" s="32"/>
      <c r="D949" s="32"/>
      <c r="E949" s="32"/>
      <c r="F949" s="32"/>
      <c r="G949" s="32"/>
      <c r="H949" s="52"/>
    </row>
    <row r="950" spans="1:8" x14ac:dyDescent="0.3">
      <c r="A950" s="31"/>
      <c r="B950" s="39"/>
      <c r="C950" s="32"/>
      <c r="D950" s="32"/>
      <c r="E950" s="32"/>
      <c r="F950" s="32"/>
      <c r="G950" s="32"/>
      <c r="H950" s="52"/>
    </row>
    <row r="951" spans="1:8" x14ac:dyDescent="0.3">
      <c r="A951" s="31"/>
      <c r="B951" s="39"/>
      <c r="C951" s="32"/>
      <c r="D951" s="32"/>
      <c r="E951" s="32"/>
      <c r="F951" s="32"/>
      <c r="G951" s="32"/>
      <c r="H951" s="52"/>
    </row>
    <row r="952" spans="1:8" x14ac:dyDescent="0.3">
      <c r="A952" s="31"/>
      <c r="B952" s="39"/>
      <c r="C952" s="32"/>
      <c r="D952" s="32"/>
      <c r="E952" s="32"/>
      <c r="F952" s="32"/>
      <c r="G952" s="32"/>
      <c r="H952" s="52"/>
    </row>
    <row r="953" spans="1:8" x14ac:dyDescent="0.3">
      <c r="A953" s="31"/>
      <c r="B953" s="39"/>
      <c r="C953" s="32"/>
      <c r="D953" s="32"/>
      <c r="E953" s="32"/>
      <c r="F953" s="32"/>
      <c r="G953" s="32"/>
      <c r="H953" s="52"/>
    </row>
    <row r="954" spans="1:8" x14ac:dyDescent="0.3">
      <c r="A954" s="31"/>
      <c r="B954" s="39"/>
      <c r="C954" s="32"/>
      <c r="D954" s="32"/>
      <c r="E954" s="32"/>
      <c r="F954" s="32"/>
      <c r="G954" s="32"/>
      <c r="H954" s="52"/>
    </row>
    <row r="955" spans="1:8" x14ac:dyDescent="0.3">
      <c r="A955" s="31"/>
      <c r="B955" s="39"/>
      <c r="C955" s="32"/>
      <c r="D955" s="32"/>
      <c r="E955" s="32"/>
      <c r="F955" s="32"/>
      <c r="G955" s="32"/>
      <c r="H955" s="52"/>
    </row>
    <row r="956" spans="1:8" x14ac:dyDescent="0.3">
      <c r="A956" s="31"/>
      <c r="B956" s="39"/>
      <c r="C956" s="32"/>
      <c r="D956" s="32"/>
      <c r="E956" s="32"/>
      <c r="F956" s="32"/>
      <c r="G956" s="32"/>
      <c r="H956" s="52"/>
    </row>
    <row r="957" spans="1:8" x14ac:dyDescent="0.3">
      <c r="A957" s="31"/>
      <c r="B957" s="39"/>
      <c r="C957" s="32"/>
      <c r="D957" s="32"/>
      <c r="E957" s="32"/>
      <c r="F957" s="32"/>
      <c r="G957" s="32"/>
      <c r="H957" s="52"/>
    </row>
    <row r="958" spans="1:8" x14ac:dyDescent="0.3">
      <c r="A958" s="31"/>
      <c r="B958" s="39"/>
      <c r="C958" s="32"/>
      <c r="D958" s="32"/>
      <c r="E958" s="32"/>
      <c r="F958" s="32"/>
      <c r="G958" s="32"/>
      <c r="H958" s="52"/>
    </row>
    <row r="959" spans="1:8" x14ac:dyDescent="0.3">
      <c r="A959" s="31"/>
      <c r="B959" s="39"/>
      <c r="C959" s="32"/>
      <c r="D959" s="32"/>
      <c r="E959" s="32"/>
      <c r="F959" s="32"/>
      <c r="G959" s="32"/>
      <c r="H959" s="52"/>
    </row>
    <row r="960" spans="1:8" x14ac:dyDescent="0.3">
      <c r="A960" s="31"/>
      <c r="B960" s="39"/>
      <c r="C960" s="32"/>
      <c r="D960" s="32"/>
      <c r="E960" s="32"/>
      <c r="F960" s="32"/>
      <c r="G960" s="32"/>
      <c r="H960" s="52"/>
    </row>
    <row r="961" spans="1:8" x14ac:dyDescent="0.3">
      <c r="A961" s="31"/>
      <c r="B961" s="39"/>
      <c r="C961" s="32"/>
      <c r="D961" s="32"/>
      <c r="E961" s="32"/>
      <c r="F961" s="32"/>
      <c r="G961" s="32"/>
      <c r="H961" s="52"/>
    </row>
    <row r="962" spans="1:8" x14ac:dyDescent="0.3">
      <c r="A962" s="31"/>
      <c r="B962" s="39"/>
      <c r="C962" s="32"/>
      <c r="D962" s="32"/>
      <c r="E962" s="32"/>
      <c r="F962" s="32"/>
      <c r="G962" s="32"/>
      <c r="H962" s="52"/>
    </row>
    <row r="963" spans="1:8" x14ac:dyDescent="0.3">
      <c r="A963" s="31"/>
      <c r="B963" s="39"/>
      <c r="C963" s="32"/>
      <c r="D963" s="32"/>
      <c r="E963" s="32"/>
      <c r="F963" s="32"/>
      <c r="G963" s="32"/>
      <c r="H963" s="52"/>
    </row>
    <row r="964" spans="1:8" x14ac:dyDescent="0.3">
      <c r="A964" s="31"/>
      <c r="B964" s="39"/>
      <c r="C964" s="32"/>
      <c r="D964" s="32"/>
      <c r="E964" s="32"/>
      <c r="F964" s="32"/>
      <c r="G964" s="32"/>
      <c r="H964" s="52"/>
    </row>
    <row r="965" spans="1:8" x14ac:dyDescent="0.3">
      <c r="A965" s="31"/>
      <c r="B965" s="39"/>
      <c r="C965" s="32"/>
      <c r="D965" s="32"/>
      <c r="E965" s="32"/>
      <c r="F965" s="32"/>
      <c r="G965" s="32"/>
      <c r="H965" s="52"/>
    </row>
    <row r="966" spans="1:8" x14ac:dyDescent="0.3">
      <c r="A966" s="31"/>
      <c r="B966" s="39"/>
      <c r="C966" s="32"/>
      <c r="D966" s="32"/>
      <c r="E966" s="32"/>
      <c r="F966" s="32"/>
      <c r="G966" s="32"/>
      <c r="H966" s="52"/>
    </row>
    <row r="967" spans="1:8" x14ac:dyDescent="0.3">
      <c r="A967" s="31"/>
      <c r="B967" s="39"/>
      <c r="C967" s="32"/>
      <c r="D967" s="32"/>
      <c r="E967" s="32"/>
      <c r="F967" s="32"/>
      <c r="G967" s="32"/>
      <c r="H967" s="52"/>
    </row>
    <row r="968" spans="1:8" x14ac:dyDescent="0.3">
      <c r="A968" s="31"/>
      <c r="B968" s="39"/>
      <c r="C968" s="32"/>
      <c r="D968" s="32"/>
      <c r="E968" s="32"/>
      <c r="F968" s="32"/>
      <c r="G968" s="32"/>
      <c r="H968" s="52"/>
    </row>
    <row r="969" spans="1:8" x14ac:dyDescent="0.3">
      <c r="A969" s="31"/>
      <c r="B969" s="39"/>
      <c r="C969" s="32"/>
      <c r="D969" s="32"/>
      <c r="E969" s="32"/>
      <c r="F969" s="32"/>
      <c r="G969" s="32"/>
      <c r="H969" s="52"/>
    </row>
    <row r="970" spans="1:8" x14ac:dyDescent="0.3">
      <c r="A970" s="31"/>
      <c r="B970" s="39"/>
      <c r="C970" s="32"/>
      <c r="D970" s="32"/>
      <c r="E970" s="32"/>
      <c r="F970" s="32"/>
      <c r="G970" s="32"/>
      <c r="H970" s="52"/>
    </row>
    <row r="971" spans="1:8" x14ac:dyDescent="0.3">
      <c r="A971" s="31"/>
      <c r="B971" s="39"/>
      <c r="C971" s="32"/>
      <c r="D971" s="32"/>
      <c r="E971" s="32"/>
      <c r="F971" s="32"/>
      <c r="G971" s="32"/>
      <c r="H971" s="52"/>
    </row>
    <row r="972" spans="1:8" x14ac:dyDescent="0.3">
      <c r="A972" s="31"/>
      <c r="B972" s="39"/>
      <c r="C972" s="32"/>
      <c r="D972" s="32"/>
      <c r="E972" s="32"/>
      <c r="F972" s="32"/>
      <c r="G972" s="32"/>
      <c r="H972" s="52"/>
    </row>
    <row r="973" spans="1:8" x14ac:dyDescent="0.3">
      <c r="A973" s="31"/>
      <c r="B973" s="39"/>
      <c r="C973" s="32"/>
      <c r="D973" s="32"/>
      <c r="E973" s="32"/>
      <c r="F973" s="32"/>
      <c r="G973" s="32"/>
      <c r="H973" s="52"/>
    </row>
    <row r="974" spans="1:8" x14ac:dyDescent="0.3">
      <c r="A974" s="31"/>
      <c r="B974" s="39"/>
      <c r="C974" s="32"/>
      <c r="D974" s="32"/>
      <c r="E974" s="32"/>
      <c r="F974" s="32"/>
      <c r="G974" s="32"/>
      <c r="H974" s="52"/>
    </row>
    <row r="975" spans="1:8" x14ac:dyDescent="0.3">
      <c r="A975" s="31"/>
      <c r="B975" s="39"/>
      <c r="C975" s="32"/>
      <c r="D975" s="32"/>
      <c r="E975" s="32"/>
      <c r="F975" s="32"/>
      <c r="G975" s="32"/>
      <c r="H975" s="52"/>
    </row>
    <row r="976" spans="1:8" x14ac:dyDescent="0.3">
      <c r="A976" s="31"/>
      <c r="B976" s="39"/>
      <c r="C976" s="32"/>
      <c r="D976" s="32"/>
      <c r="E976" s="32"/>
      <c r="F976" s="32"/>
      <c r="G976" s="32"/>
      <c r="H976" s="52"/>
    </row>
    <row r="977" spans="1:8" x14ac:dyDescent="0.3">
      <c r="A977" s="31"/>
      <c r="B977" s="39"/>
      <c r="C977" s="32"/>
      <c r="D977" s="32"/>
      <c r="E977" s="32"/>
      <c r="F977" s="32"/>
      <c r="G977" s="32"/>
      <c r="H977" s="52"/>
    </row>
    <row r="978" spans="1:8" x14ac:dyDescent="0.3">
      <c r="A978" s="31"/>
      <c r="B978" s="39"/>
      <c r="C978" s="32"/>
      <c r="D978" s="32"/>
      <c r="E978" s="32"/>
      <c r="F978" s="32"/>
      <c r="G978" s="32"/>
      <c r="H978" s="52"/>
    </row>
    <row r="979" spans="1:8" x14ac:dyDescent="0.3">
      <c r="A979" s="31"/>
      <c r="B979" s="39"/>
      <c r="C979" s="32"/>
      <c r="D979" s="32"/>
      <c r="E979" s="32"/>
      <c r="F979" s="32"/>
      <c r="G979" s="32"/>
      <c r="H979" s="52"/>
    </row>
    <row r="980" spans="1:8" x14ac:dyDescent="0.3">
      <c r="A980" s="31"/>
      <c r="B980" s="39"/>
      <c r="C980" s="32"/>
      <c r="D980" s="32"/>
      <c r="E980" s="32"/>
      <c r="F980" s="32"/>
      <c r="G980" s="32"/>
      <c r="H980" s="52"/>
    </row>
    <row r="981" spans="1:8" x14ac:dyDescent="0.3">
      <c r="A981" s="31"/>
      <c r="B981" s="39"/>
      <c r="C981" s="32"/>
      <c r="D981" s="32"/>
      <c r="E981" s="32"/>
      <c r="F981" s="32"/>
      <c r="G981" s="32"/>
      <c r="H981" s="52"/>
    </row>
    <row r="982" spans="1:8" x14ac:dyDescent="0.3">
      <c r="A982" s="31"/>
      <c r="B982" s="39"/>
      <c r="C982" s="32"/>
      <c r="D982" s="32"/>
      <c r="E982" s="32"/>
      <c r="F982" s="32"/>
      <c r="G982" s="32"/>
      <c r="H982" s="52"/>
    </row>
    <row r="983" spans="1:8" x14ac:dyDescent="0.3">
      <c r="A983" s="31"/>
      <c r="B983" s="39"/>
      <c r="C983" s="32"/>
      <c r="D983" s="32"/>
      <c r="E983" s="32"/>
      <c r="F983" s="32"/>
      <c r="G983" s="32"/>
      <c r="H983" s="52"/>
    </row>
    <row r="984" spans="1:8" x14ac:dyDescent="0.3">
      <c r="A984" s="31"/>
      <c r="B984" s="39"/>
      <c r="C984" s="32"/>
      <c r="D984" s="32"/>
      <c r="E984" s="32"/>
      <c r="F984" s="32"/>
      <c r="G984" s="32"/>
      <c r="H984" s="52"/>
    </row>
    <row r="985" spans="1:8" x14ac:dyDescent="0.3">
      <c r="A985" s="31"/>
      <c r="B985" s="39"/>
      <c r="C985" s="32"/>
      <c r="D985" s="32"/>
      <c r="E985" s="32"/>
      <c r="F985" s="32"/>
      <c r="G985" s="32"/>
      <c r="H985" s="52"/>
    </row>
    <row r="986" spans="1:8" x14ac:dyDescent="0.3">
      <c r="A986" s="31"/>
      <c r="B986" s="39"/>
      <c r="C986" s="32"/>
      <c r="D986" s="32"/>
      <c r="E986" s="32"/>
      <c r="F986" s="32"/>
      <c r="G986" s="32"/>
      <c r="H986" s="52"/>
    </row>
    <row r="987" spans="1:8" x14ac:dyDescent="0.3">
      <c r="A987" s="31"/>
      <c r="B987" s="39"/>
      <c r="C987" s="32"/>
      <c r="D987" s="32"/>
      <c r="E987" s="32"/>
      <c r="F987" s="32"/>
      <c r="G987" s="32"/>
      <c r="H987" s="52"/>
    </row>
    <row r="988" spans="1:8" x14ac:dyDescent="0.3">
      <c r="A988" s="31"/>
      <c r="B988" s="39"/>
      <c r="C988" s="32"/>
      <c r="D988" s="32"/>
      <c r="E988" s="32"/>
      <c r="F988" s="32"/>
      <c r="G988" s="32"/>
      <c r="H988" s="52"/>
    </row>
    <row r="989" spans="1:8" x14ac:dyDescent="0.3">
      <c r="A989" s="31"/>
      <c r="B989" s="39"/>
      <c r="C989" s="32"/>
      <c r="D989" s="32"/>
      <c r="E989" s="32"/>
      <c r="F989" s="32"/>
      <c r="G989" s="32"/>
      <c r="H989" s="52"/>
    </row>
    <row r="990" spans="1:8" x14ac:dyDescent="0.3">
      <c r="A990" s="31"/>
      <c r="B990" s="39"/>
      <c r="C990" s="32"/>
      <c r="D990" s="32"/>
      <c r="E990" s="32"/>
      <c r="F990" s="32"/>
      <c r="G990" s="32"/>
      <c r="H990" s="52"/>
    </row>
    <row r="991" spans="1:8" x14ac:dyDescent="0.3">
      <c r="A991" s="31"/>
      <c r="B991" s="39"/>
      <c r="C991" s="32"/>
      <c r="D991" s="32"/>
      <c r="E991" s="32"/>
      <c r="F991" s="32"/>
      <c r="G991" s="32"/>
      <c r="H991" s="52"/>
    </row>
    <row r="992" spans="1:8" x14ac:dyDescent="0.3">
      <c r="A992" s="31"/>
      <c r="B992" s="39"/>
      <c r="C992" s="32"/>
      <c r="D992" s="32"/>
      <c r="E992" s="32"/>
      <c r="F992" s="32"/>
      <c r="G992" s="32"/>
      <c r="H992" s="52"/>
    </row>
    <row r="993" spans="1:8" x14ac:dyDescent="0.3">
      <c r="A993" s="31"/>
      <c r="B993" s="39"/>
      <c r="C993" s="32"/>
      <c r="D993" s="32"/>
      <c r="E993" s="32"/>
      <c r="F993" s="32"/>
      <c r="G993" s="32"/>
      <c r="H993" s="52"/>
    </row>
    <row r="994" spans="1:8" x14ac:dyDescent="0.3">
      <c r="A994" s="31"/>
      <c r="B994" s="39"/>
      <c r="C994" s="32"/>
      <c r="D994" s="32"/>
      <c r="E994" s="32"/>
      <c r="F994" s="32"/>
      <c r="G994" s="32"/>
      <c r="H994" s="52"/>
    </row>
    <row r="995" spans="1:8" x14ac:dyDescent="0.3">
      <c r="A995" s="31"/>
      <c r="B995" s="39"/>
      <c r="C995" s="32"/>
      <c r="D995" s="32"/>
      <c r="E995" s="32"/>
      <c r="F995" s="32"/>
      <c r="G995" s="32"/>
      <c r="H995" s="52"/>
    </row>
    <row r="996" spans="1:8" x14ac:dyDescent="0.3">
      <c r="A996" s="31"/>
      <c r="B996" s="39"/>
      <c r="C996" s="32"/>
      <c r="D996" s="32"/>
      <c r="E996" s="32"/>
      <c r="F996" s="32"/>
      <c r="G996" s="32"/>
      <c r="H996" s="52"/>
    </row>
    <row r="997" spans="1:8" x14ac:dyDescent="0.3">
      <c r="A997" s="31"/>
      <c r="B997" s="39"/>
      <c r="C997" s="32"/>
      <c r="D997" s="32"/>
      <c r="E997" s="32"/>
      <c r="F997" s="32"/>
      <c r="G997" s="32"/>
      <c r="H997" s="52"/>
    </row>
    <row r="998" spans="1:8" x14ac:dyDescent="0.3">
      <c r="A998" s="31"/>
      <c r="B998" s="39"/>
      <c r="C998" s="32"/>
      <c r="D998" s="32"/>
      <c r="E998" s="32"/>
      <c r="F998" s="32"/>
      <c r="G998" s="32"/>
      <c r="H998" s="52"/>
    </row>
    <row r="999" spans="1:8" x14ac:dyDescent="0.3">
      <c r="A999" s="31"/>
      <c r="B999" s="39"/>
      <c r="C999" s="32"/>
      <c r="D999" s="32"/>
      <c r="E999" s="32"/>
      <c r="F999" s="32"/>
      <c r="G999" s="32"/>
      <c r="H999" s="52"/>
    </row>
    <row r="1000" spans="1:8" x14ac:dyDescent="0.3">
      <c r="A1000" s="31"/>
      <c r="B1000" s="39"/>
      <c r="C1000" s="32"/>
      <c r="D1000" s="32"/>
      <c r="E1000" s="32"/>
      <c r="F1000" s="32"/>
      <c r="G1000" s="32"/>
      <c r="H1000" s="52"/>
    </row>
  </sheetData>
  <pageMargins left="0.25" right="0.25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H997"/>
  <sheetViews>
    <sheetView topLeftCell="B1" workbookViewId="0">
      <selection activeCell="D6" sqref="D6"/>
    </sheetView>
  </sheetViews>
  <sheetFormatPr defaultColWidth="8.88671875" defaultRowHeight="14.4" x14ac:dyDescent="0.3"/>
  <cols>
    <col min="1" max="1" width="14.6640625" style="16" hidden="1" customWidth="1"/>
    <col min="2" max="2" width="25.88671875" style="16" customWidth="1"/>
    <col min="3" max="3" width="4.33203125" style="16" customWidth="1"/>
    <col min="4" max="4" width="12.6640625" style="16" customWidth="1"/>
    <col min="5" max="5" width="12.6640625" style="30" customWidth="1"/>
    <col min="6" max="6" width="12.33203125" style="16" customWidth="1"/>
    <col min="7" max="7" width="10.5546875" style="16" bestFit="1" customWidth="1"/>
    <col min="8" max="8" width="14.109375" style="16" bestFit="1" customWidth="1"/>
    <col min="9" max="16384" width="8.88671875" style="16"/>
  </cols>
  <sheetData>
    <row r="1" spans="1:8" x14ac:dyDescent="0.3">
      <c r="A1" s="49" t="s">
        <v>0</v>
      </c>
      <c r="B1" s="34" t="s">
        <v>3</v>
      </c>
      <c r="C1" s="35" t="s">
        <v>11</v>
      </c>
      <c r="D1" s="35" t="s">
        <v>291</v>
      </c>
      <c r="E1" s="36" t="s">
        <v>292</v>
      </c>
      <c r="F1" s="37" t="s">
        <v>293</v>
      </c>
      <c r="G1" s="35" t="s">
        <v>5</v>
      </c>
      <c r="H1" s="35" t="s">
        <v>8</v>
      </c>
    </row>
    <row r="2" spans="1:8" x14ac:dyDescent="0.3">
      <c r="A2" s="45">
        <v>2021000206</v>
      </c>
      <c r="B2" s="46" t="s">
        <v>222</v>
      </c>
      <c r="C2" s="46">
        <v>1</v>
      </c>
      <c r="D2" s="47">
        <v>70</v>
      </c>
      <c r="E2" s="38">
        <f>VLOOKUP(A2,Controle_de_Produtos!A:E,3,FALSE)</f>
        <v>35</v>
      </c>
      <c r="F2" s="33">
        <f t="shared" ref="F2:F8" si="0">D2-E2</f>
        <v>35</v>
      </c>
      <c r="G2" s="44">
        <v>44415</v>
      </c>
      <c r="H2" s="47" t="s">
        <v>242</v>
      </c>
    </row>
    <row r="3" spans="1:8" x14ac:dyDescent="0.3">
      <c r="A3" s="45">
        <v>2021000087</v>
      </c>
      <c r="B3" s="46" t="s">
        <v>105</v>
      </c>
      <c r="C3" s="46">
        <v>1</v>
      </c>
      <c r="D3" s="47">
        <v>70</v>
      </c>
      <c r="E3" s="38">
        <f>VLOOKUP(A3,Controle_de_Produtos!A:E,3,FALSE)</f>
        <v>35</v>
      </c>
      <c r="F3" s="33">
        <f t="shared" si="0"/>
        <v>35</v>
      </c>
      <c r="G3" s="44">
        <v>44415</v>
      </c>
      <c r="H3" s="47" t="s">
        <v>242</v>
      </c>
    </row>
    <row r="4" spans="1:8" x14ac:dyDescent="0.3">
      <c r="A4" s="45">
        <v>2021000094</v>
      </c>
      <c r="B4" s="46" t="s">
        <v>112</v>
      </c>
      <c r="C4" s="46">
        <v>1</v>
      </c>
      <c r="D4" s="47">
        <v>70</v>
      </c>
      <c r="E4" s="38">
        <f>VLOOKUP(A4,Controle_de_Produtos!A:E,3,FALSE)</f>
        <v>35</v>
      </c>
      <c r="F4" s="33">
        <f t="shared" si="0"/>
        <v>35</v>
      </c>
      <c r="G4" s="44">
        <v>44415</v>
      </c>
      <c r="H4" s="47" t="s">
        <v>242</v>
      </c>
    </row>
    <row r="5" spans="1:8" x14ac:dyDescent="0.3">
      <c r="A5" s="45">
        <v>2021000306</v>
      </c>
      <c r="B5" s="46" t="s">
        <v>365</v>
      </c>
      <c r="C5" s="46">
        <v>1</v>
      </c>
      <c r="D5" s="47">
        <v>200</v>
      </c>
      <c r="E5" s="38">
        <f>VLOOKUP(A5,Controle_de_Produtos!A:E,3,FALSE)</f>
        <v>105</v>
      </c>
      <c r="F5" s="33">
        <f t="shared" si="0"/>
        <v>95</v>
      </c>
      <c r="G5" s="44">
        <v>44415</v>
      </c>
      <c r="H5" s="47" t="s">
        <v>242</v>
      </c>
    </row>
    <row r="6" spans="1:8" s="29" customFormat="1" x14ac:dyDescent="0.3">
      <c r="A6" s="45">
        <v>2021000088</v>
      </c>
      <c r="B6" s="46" t="s">
        <v>106</v>
      </c>
      <c r="C6" s="46">
        <v>1</v>
      </c>
      <c r="D6" s="47">
        <v>100</v>
      </c>
      <c r="E6" s="40">
        <f>VLOOKUP(A6,Controle_de_Produtos!A:E,3,FALSE)</f>
        <v>50</v>
      </c>
      <c r="F6" s="41">
        <f t="shared" si="0"/>
        <v>50</v>
      </c>
      <c r="G6" s="44">
        <v>44415</v>
      </c>
      <c r="H6" s="47" t="s">
        <v>242</v>
      </c>
    </row>
    <row r="7" spans="1:8" x14ac:dyDescent="0.3">
      <c r="A7" s="45">
        <v>2021000176</v>
      </c>
      <c r="B7" s="46" t="s">
        <v>191</v>
      </c>
      <c r="C7" s="46">
        <v>2</v>
      </c>
      <c r="D7" s="47">
        <v>20</v>
      </c>
      <c r="E7" s="38">
        <f>VLOOKUP(A7,Controle_de_Produtos!A:E,3,FALSE)</f>
        <v>9</v>
      </c>
      <c r="F7" s="38">
        <f t="shared" si="0"/>
        <v>11</v>
      </c>
      <c r="G7" s="44">
        <v>44415</v>
      </c>
      <c r="H7" s="47" t="s">
        <v>242</v>
      </c>
    </row>
    <row r="8" spans="1:8" x14ac:dyDescent="0.3">
      <c r="A8" s="45">
        <v>2021000258</v>
      </c>
      <c r="B8" s="46" t="s">
        <v>304</v>
      </c>
      <c r="C8" s="46">
        <v>1</v>
      </c>
      <c r="D8" s="47">
        <v>40</v>
      </c>
      <c r="E8" s="38">
        <f>VLOOKUP(A8,Controle_de_Produtos!A:E,3,FALSE)</f>
        <v>17</v>
      </c>
      <c r="F8" s="38">
        <f t="shared" si="0"/>
        <v>23</v>
      </c>
      <c r="G8" s="44">
        <v>44415</v>
      </c>
      <c r="H8" s="47" t="s">
        <v>242</v>
      </c>
    </row>
    <row r="9" spans="1:8" x14ac:dyDescent="0.3">
      <c r="A9" s="45"/>
      <c r="B9" s="46" t="s">
        <v>294</v>
      </c>
      <c r="C9" s="46">
        <f>SUM(C2:C8)</f>
        <v>8</v>
      </c>
      <c r="D9" s="47">
        <f>SUM(D2:D8)</f>
        <v>570</v>
      </c>
      <c r="E9" s="38">
        <f>SUM(E2:E8)</f>
        <v>286</v>
      </c>
      <c r="F9" s="38">
        <f>SUM(F2:F8)</f>
        <v>284</v>
      </c>
      <c r="G9" s="44" t="s">
        <v>295</v>
      </c>
      <c r="H9" s="47" t="s">
        <v>295</v>
      </c>
    </row>
    <row r="10" spans="1:8" x14ac:dyDescent="0.3">
      <c r="A10" s="45"/>
      <c r="B10" s="46"/>
      <c r="C10" s="46"/>
      <c r="D10" s="47"/>
      <c r="E10" s="38"/>
      <c r="F10" s="38"/>
      <c r="G10" s="44"/>
      <c r="H10" s="47"/>
    </row>
    <row r="11" spans="1:8" x14ac:dyDescent="0.3">
      <c r="A11" s="45"/>
      <c r="B11" s="46"/>
      <c r="C11" s="46"/>
      <c r="D11" s="47"/>
      <c r="E11" s="38"/>
      <c r="F11" s="38"/>
      <c r="G11" s="44"/>
      <c r="H11" s="47"/>
    </row>
    <row r="12" spans="1:8" x14ac:dyDescent="0.3">
      <c r="A12" s="45"/>
      <c r="B12" s="46"/>
      <c r="C12" s="46"/>
      <c r="D12" s="47"/>
      <c r="E12" s="38"/>
      <c r="F12" s="38"/>
      <c r="G12" s="44"/>
      <c r="H12" s="47"/>
    </row>
    <row r="13" spans="1:8" x14ac:dyDescent="0.3">
      <c r="A13" s="45"/>
      <c r="B13" s="46"/>
      <c r="C13" s="46"/>
      <c r="D13" s="47"/>
      <c r="E13" s="38"/>
      <c r="F13" s="38"/>
      <c r="G13" s="44"/>
      <c r="H13" s="47"/>
    </row>
    <row r="14" spans="1:8" x14ac:dyDescent="0.3">
      <c r="A14" s="45"/>
      <c r="B14" s="46"/>
      <c r="C14" s="46"/>
      <c r="D14" s="47"/>
      <c r="E14" s="38"/>
      <c r="F14" s="38"/>
      <c r="G14" s="44"/>
      <c r="H14" s="47"/>
    </row>
    <row r="15" spans="1:8" x14ac:dyDescent="0.3">
      <c r="A15" s="45"/>
      <c r="B15" s="46"/>
      <c r="C15" s="46"/>
      <c r="D15" s="47"/>
      <c r="E15" s="38"/>
      <c r="F15" s="38"/>
      <c r="G15" s="44"/>
      <c r="H15" s="47"/>
    </row>
    <row r="16" spans="1:8" x14ac:dyDescent="0.3">
      <c r="A16" s="45"/>
      <c r="B16" s="46"/>
      <c r="C16" s="46"/>
      <c r="D16" s="47"/>
      <c r="E16" s="38"/>
      <c r="F16" s="38"/>
      <c r="G16" s="44"/>
      <c r="H16" s="47"/>
    </row>
    <row r="17" spans="1:8" x14ac:dyDescent="0.3">
      <c r="A17" s="45"/>
      <c r="B17" s="46"/>
      <c r="C17" s="46"/>
      <c r="D17" s="47"/>
      <c r="E17" s="38"/>
      <c r="F17" s="38"/>
      <c r="G17" s="44"/>
      <c r="H17" s="47"/>
    </row>
    <row r="18" spans="1:8" x14ac:dyDescent="0.3">
      <c r="A18" s="45"/>
      <c r="B18" s="46"/>
      <c r="C18" s="46"/>
      <c r="D18" s="47"/>
      <c r="E18" s="38"/>
      <c r="F18" s="38"/>
      <c r="G18" s="44"/>
      <c r="H18" s="47"/>
    </row>
    <row r="19" spans="1:8" x14ac:dyDescent="0.3">
      <c r="A19" s="45"/>
      <c r="B19" s="46"/>
      <c r="C19" s="46"/>
      <c r="D19" s="47"/>
      <c r="E19" s="38"/>
      <c r="F19" s="38"/>
      <c r="G19" s="44"/>
      <c r="H19" s="47"/>
    </row>
    <row r="20" spans="1:8" x14ac:dyDescent="0.3">
      <c r="A20" s="45"/>
      <c r="B20" s="46"/>
      <c r="C20" s="46"/>
      <c r="D20" s="47"/>
      <c r="E20" s="38"/>
      <c r="F20" s="38"/>
      <c r="G20" s="44"/>
      <c r="H20" s="47"/>
    </row>
    <row r="21" spans="1:8" x14ac:dyDescent="0.3">
      <c r="A21" s="45"/>
      <c r="B21" s="46"/>
      <c r="C21" s="46"/>
      <c r="D21" s="47"/>
      <c r="E21" s="38"/>
      <c r="F21" s="38"/>
      <c r="G21" s="44"/>
      <c r="H21" s="47"/>
    </row>
    <row r="22" spans="1:8" x14ac:dyDescent="0.3">
      <c r="A22" s="45"/>
      <c r="B22" s="46"/>
      <c r="C22" s="46"/>
      <c r="D22" s="47"/>
      <c r="E22" s="38"/>
      <c r="F22" s="38"/>
      <c r="G22" s="44"/>
      <c r="H22" s="47"/>
    </row>
    <row r="23" spans="1:8" x14ac:dyDescent="0.3">
      <c r="A23" s="45"/>
      <c r="B23" s="46"/>
      <c r="C23" s="46"/>
      <c r="D23" s="47"/>
      <c r="E23" s="38"/>
      <c r="F23" s="38"/>
      <c r="G23" s="44"/>
      <c r="H23" s="47"/>
    </row>
    <row r="24" spans="1:8" x14ac:dyDescent="0.3">
      <c r="A24" s="45"/>
      <c r="B24" s="46"/>
      <c r="C24" s="46"/>
      <c r="D24" s="47"/>
      <c r="E24" s="38"/>
      <c r="F24" s="38"/>
      <c r="G24" s="44"/>
      <c r="H24" s="47"/>
    </row>
    <row r="25" spans="1:8" x14ac:dyDescent="0.3">
      <c r="A25" s="45"/>
      <c r="B25" s="46"/>
      <c r="C25" s="46"/>
      <c r="D25" s="47"/>
      <c r="E25" s="38"/>
      <c r="F25" s="38"/>
      <c r="G25" s="44"/>
      <c r="H25" s="47"/>
    </row>
    <row r="26" spans="1:8" x14ac:dyDescent="0.3">
      <c r="A26" s="45"/>
      <c r="B26" s="46"/>
      <c r="C26" s="46"/>
      <c r="D26" s="47"/>
      <c r="E26" s="38"/>
      <c r="F26" s="38"/>
      <c r="G26" s="44"/>
      <c r="H26" s="47"/>
    </row>
    <row r="27" spans="1:8" x14ac:dyDescent="0.3">
      <c r="A27" s="45"/>
      <c r="B27" s="46"/>
      <c r="C27" s="46"/>
      <c r="D27" s="47"/>
      <c r="E27" s="38"/>
      <c r="F27" s="38"/>
      <c r="G27" s="44"/>
      <c r="H27" s="47"/>
    </row>
    <row r="28" spans="1:8" x14ac:dyDescent="0.3">
      <c r="A28" s="45"/>
      <c r="B28" s="46"/>
      <c r="C28" s="46"/>
      <c r="D28" s="47"/>
      <c r="E28" s="38"/>
      <c r="F28" s="38"/>
      <c r="G28" s="44"/>
      <c r="H28" s="47"/>
    </row>
    <row r="29" spans="1:8" x14ac:dyDescent="0.3">
      <c r="A29" s="45"/>
      <c r="B29" s="46"/>
      <c r="C29" s="46"/>
      <c r="D29" s="47"/>
      <c r="E29" s="38"/>
      <c r="F29" s="38"/>
      <c r="G29" s="44"/>
      <c r="H29" s="47"/>
    </row>
    <row r="30" spans="1:8" x14ac:dyDescent="0.3">
      <c r="A30" s="45"/>
      <c r="B30" s="46"/>
      <c r="C30" s="46"/>
      <c r="D30" s="47"/>
      <c r="E30" s="38"/>
      <c r="F30" s="38"/>
      <c r="G30" s="44"/>
      <c r="H30" s="47"/>
    </row>
    <row r="31" spans="1:8" x14ac:dyDescent="0.3">
      <c r="A31" s="45"/>
      <c r="B31" s="46"/>
      <c r="C31" s="46"/>
      <c r="D31" s="47"/>
      <c r="E31" s="38"/>
      <c r="F31" s="38"/>
      <c r="G31" s="44"/>
      <c r="H31" s="47"/>
    </row>
    <row r="32" spans="1:8" x14ac:dyDescent="0.3">
      <c r="A32" s="45"/>
      <c r="B32" s="46"/>
      <c r="C32" s="46"/>
      <c r="D32" s="47"/>
      <c r="E32" s="38"/>
      <c r="F32" s="38"/>
      <c r="G32" s="44"/>
      <c r="H32" s="47"/>
    </row>
    <row r="33" spans="1:8" x14ac:dyDescent="0.3">
      <c r="A33" s="45"/>
      <c r="B33" s="46"/>
      <c r="C33" s="46"/>
      <c r="D33" s="47"/>
      <c r="E33" s="38"/>
      <c r="F33" s="38"/>
      <c r="G33" s="44"/>
      <c r="H33" s="47"/>
    </row>
    <row r="34" spans="1:8" x14ac:dyDescent="0.3">
      <c r="A34" s="45"/>
      <c r="B34" s="46"/>
      <c r="C34" s="46"/>
      <c r="D34" s="47"/>
      <c r="E34" s="38"/>
      <c r="F34" s="38"/>
      <c r="G34" s="44"/>
      <c r="H34" s="47"/>
    </row>
    <row r="35" spans="1:8" x14ac:dyDescent="0.3">
      <c r="A35" s="45"/>
      <c r="B35" s="46"/>
      <c r="C35" s="46"/>
      <c r="D35" s="47"/>
      <c r="E35" s="38"/>
      <c r="F35" s="38"/>
      <c r="G35" s="44"/>
      <c r="H35" s="47"/>
    </row>
    <row r="36" spans="1:8" x14ac:dyDescent="0.3">
      <c r="A36" s="45"/>
      <c r="B36" s="46"/>
      <c r="C36" s="46"/>
      <c r="D36" s="47"/>
      <c r="E36" s="38"/>
      <c r="F36" s="38"/>
      <c r="G36" s="44"/>
      <c r="H36" s="47"/>
    </row>
    <row r="37" spans="1:8" x14ac:dyDescent="0.3">
      <c r="A37" s="45"/>
      <c r="B37" s="46"/>
      <c r="C37" s="46"/>
      <c r="D37" s="47"/>
      <c r="E37" s="38"/>
      <c r="F37" s="38"/>
      <c r="G37" s="44"/>
      <c r="H37" s="47"/>
    </row>
    <row r="38" spans="1:8" x14ac:dyDescent="0.3">
      <c r="A38" s="45"/>
      <c r="B38" s="46"/>
      <c r="C38" s="46"/>
      <c r="D38" s="47"/>
      <c r="E38" s="38"/>
      <c r="F38" s="38"/>
      <c r="G38" s="44"/>
      <c r="H38" s="47"/>
    </row>
    <row r="39" spans="1:8" x14ac:dyDescent="0.3">
      <c r="A39" s="45"/>
      <c r="B39" s="46"/>
      <c r="C39" s="46"/>
      <c r="D39" s="47"/>
      <c r="E39" s="38"/>
      <c r="F39" s="38"/>
      <c r="G39" s="44"/>
      <c r="H39" s="47"/>
    </row>
    <row r="40" spans="1:8" x14ac:dyDescent="0.3">
      <c r="A40" s="45"/>
      <c r="B40" s="46"/>
      <c r="C40" s="46"/>
      <c r="D40" s="47"/>
      <c r="E40" s="38"/>
      <c r="F40" s="38"/>
      <c r="G40" s="44"/>
      <c r="H40" s="47"/>
    </row>
    <row r="41" spans="1:8" x14ac:dyDescent="0.3">
      <c r="A41" s="45"/>
      <c r="B41" s="46"/>
      <c r="C41" s="46"/>
      <c r="D41" s="47"/>
      <c r="E41" s="38"/>
      <c r="F41" s="38"/>
      <c r="G41" s="44"/>
      <c r="H41" s="47"/>
    </row>
    <row r="42" spans="1:8" x14ac:dyDescent="0.3">
      <c r="A42" s="45"/>
      <c r="B42" s="46"/>
      <c r="C42" s="46"/>
      <c r="D42" s="47"/>
      <c r="E42" s="38"/>
      <c r="F42" s="38"/>
      <c r="G42" s="44"/>
      <c r="H42" s="47"/>
    </row>
    <row r="43" spans="1:8" x14ac:dyDescent="0.3">
      <c r="A43" s="45"/>
      <c r="B43" s="46"/>
      <c r="C43" s="46"/>
      <c r="D43" s="47"/>
      <c r="E43" s="38"/>
      <c r="F43" s="38"/>
      <c r="G43" s="44"/>
      <c r="H43" s="47"/>
    </row>
    <row r="44" spans="1:8" x14ac:dyDescent="0.3">
      <c r="A44" s="45"/>
      <c r="B44" s="46"/>
      <c r="C44" s="46"/>
      <c r="D44" s="47"/>
      <c r="E44" s="38"/>
      <c r="F44" s="38"/>
      <c r="G44" s="44"/>
      <c r="H44" s="47"/>
    </row>
    <row r="45" spans="1:8" x14ac:dyDescent="0.3">
      <c r="A45" s="45"/>
      <c r="B45" s="46"/>
      <c r="C45" s="46"/>
      <c r="D45" s="47"/>
      <c r="E45" s="38"/>
      <c r="F45" s="38"/>
      <c r="G45" s="44"/>
      <c r="H45" s="47"/>
    </row>
    <row r="46" spans="1:8" x14ac:dyDescent="0.3">
      <c r="A46" s="45"/>
      <c r="B46" s="46"/>
      <c r="C46" s="46"/>
      <c r="D46" s="47"/>
      <c r="E46" s="38"/>
      <c r="F46" s="38"/>
      <c r="G46" s="44"/>
      <c r="H46" s="47"/>
    </row>
    <row r="47" spans="1:8" x14ac:dyDescent="0.3">
      <c r="A47" s="45"/>
      <c r="B47" s="46"/>
      <c r="C47" s="46"/>
      <c r="D47" s="47"/>
      <c r="E47" s="38"/>
      <c r="F47" s="38"/>
      <c r="G47" s="44"/>
      <c r="H47" s="47"/>
    </row>
    <row r="48" spans="1:8" x14ac:dyDescent="0.3">
      <c r="A48" s="45"/>
      <c r="B48" s="46"/>
      <c r="C48" s="46"/>
      <c r="D48" s="47"/>
      <c r="E48" s="38"/>
      <c r="F48" s="38"/>
      <c r="G48" s="44"/>
      <c r="H48" s="47"/>
    </row>
    <row r="49" spans="1:8" x14ac:dyDescent="0.3">
      <c r="A49" s="45"/>
      <c r="B49" s="46"/>
      <c r="C49" s="46"/>
      <c r="D49" s="47"/>
      <c r="E49" s="38"/>
      <c r="F49" s="38"/>
      <c r="G49" s="44"/>
      <c r="H49" s="47"/>
    </row>
    <row r="50" spans="1:8" x14ac:dyDescent="0.3">
      <c r="A50" s="45"/>
      <c r="B50" s="46"/>
      <c r="C50" s="46"/>
      <c r="D50" s="47"/>
      <c r="E50" s="38"/>
      <c r="F50" s="38"/>
      <c r="G50" s="44"/>
      <c r="H50" s="47"/>
    </row>
    <row r="51" spans="1:8" x14ac:dyDescent="0.3">
      <c r="A51" s="45"/>
      <c r="B51" s="46"/>
      <c r="C51" s="46"/>
      <c r="D51" s="47"/>
      <c r="E51" s="38"/>
      <c r="F51" s="38"/>
      <c r="G51" s="44"/>
      <c r="H51" s="47"/>
    </row>
    <row r="52" spans="1:8" x14ac:dyDescent="0.3">
      <c r="A52" s="45"/>
      <c r="B52" s="46"/>
      <c r="C52" s="46"/>
      <c r="D52" s="47"/>
      <c r="E52" s="38"/>
      <c r="F52" s="38"/>
      <c r="G52" s="44"/>
      <c r="H52" s="47"/>
    </row>
    <row r="53" spans="1:8" x14ac:dyDescent="0.3">
      <c r="A53" s="45"/>
      <c r="B53" s="46"/>
      <c r="C53" s="46"/>
      <c r="D53" s="47"/>
      <c r="E53" s="38"/>
      <c r="F53" s="38"/>
      <c r="G53" s="44"/>
      <c r="H53" s="47"/>
    </row>
    <row r="54" spans="1:8" x14ac:dyDescent="0.3">
      <c r="A54" s="45"/>
      <c r="B54" s="46"/>
      <c r="C54" s="46"/>
      <c r="D54" s="47"/>
      <c r="E54" s="38"/>
      <c r="F54" s="38"/>
      <c r="G54" s="44"/>
      <c r="H54" s="47"/>
    </row>
    <row r="55" spans="1:8" x14ac:dyDescent="0.3">
      <c r="A55" s="45"/>
      <c r="B55" s="46"/>
      <c r="C55" s="46"/>
      <c r="D55" s="47"/>
      <c r="E55" s="38"/>
      <c r="F55" s="38"/>
      <c r="G55" s="44"/>
      <c r="H55" s="47"/>
    </row>
    <row r="56" spans="1:8" x14ac:dyDescent="0.3">
      <c r="A56" s="45"/>
      <c r="B56" s="46"/>
      <c r="C56" s="46"/>
      <c r="D56" s="47"/>
      <c r="E56" s="38"/>
      <c r="F56" s="38"/>
      <c r="G56" s="44"/>
      <c r="H56" s="47"/>
    </row>
    <row r="57" spans="1:8" x14ac:dyDescent="0.3">
      <c r="A57" s="45"/>
      <c r="B57" s="46"/>
      <c r="C57" s="46"/>
      <c r="D57" s="47"/>
      <c r="E57" s="38"/>
      <c r="F57" s="38"/>
      <c r="G57" s="44"/>
      <c r="H57" s="47"/>
    </row>
    <row r="58" spans="1:8" x14ac:dyDescent="0.3">
      <c r="A58" s="45"/>
      <c r="B58" s="46"/>
      <c r="C58" s="46"/>
      <c r="D58" s="47"/>
      <c r="E58" s="38"/>
      <c r="F58" s="38"/>
      <c r="G58" s="44"/>
      <c r="H58" s="47"/>
    </row>
    <row r="59" spans="1:8" x14ac:dyDescent="0.3">
      <c r="A59" s="45"/>
      <c r="B59" s="46"/>
      <c r="C59" s="46"/>
      <c r="D59" s="47"/>
      <c r="E59" s="38"/>
      <c r="F59" s="38"/>
      <c r="G59" s="44"/>
      <c r="H59" s="47"/>
    </row>
    <row r="60" spans="1:8" x14ac:dyDescent="0.3">
      <c r="A60" s="45"/>
      <c r="B60" s="46"/>
      <c r="C60" s="46"/>
      <c r="D60" s="47"/>
      <c r="E60" s="38"/>
      <c r="F60" s="38"/>
      <c r="G60" s="44"/>
      <c r="H60" s="47"/>
    </row>
    <row r="61" spans="1:8" x14ac:dyDescent="0.3">
      <c r="A61" s="45"/>
      <c r="B61" s="46"/>
      <c r="C61" s="46"/>
      <c r="D61" s="47"/>
      <c r="E61" s="38"/>
      <c r="F61" s="38"/>
      <c r="G61" s="44"/>
      <c r="H61" s="47"/>
    </row>
    <row r="62" spans="1:8" x14ac:dyDescent="0.3">
      <c r="A62" s="45"/>
      <c r="B62" s="46"/>
      <c r="C62" s="46"/>
      <c r="D62" s="47"/>
      <c r="E62" s="38"/>
      <c r="F62" s="38"/>
      <c r="G62" s="44"/>
      <c r="H62" s="47"/>
    </row>
    <row r="63" spans="1:8" x14ac:dyDescent="0.3">
      <c r="A63" s="45"/>
      <c r="B63" s="46"/>
      <c r="C63" s="46"/>
      <c r="D63" s="47"/>
      <c r="E63" s="38"/>
      <c r="F63" s="38"/>
      <c r="G63" s="44"/>
      <c r="H63" s="47"/>
    </row>
    <row r="64" spans="1:8" x14ac:dyDescent="0.3">
      <c r="A64" s="45"/>
      <c r="B64" s="46"/>
      <c r="C64" s="46"/>
      <c r="D64" s="47"/>
      <c r="E64" s="38"/>
      <c r="F64" s="38"/>
      <c r="G64" s="44"/>
      <c r="H64" s="47"/>
    </row>
    <row r="65" spans="1:8" x14ac:dyDescent="0.3">
      <c r="A65" s="45"/>
      <c r="B65" s="46"/>
      <c r="C65" s="46"/>
      <c r="D65" s="47"/>
      <c r="E65" s="38"/>
      <c r="F65" s="38"/>
      <c r="G65" s="44"/>
      <c r="H65" s="47"/>
    </row>
    <row r="66" spans="1:8" x14ac:dyDescent="0.3">
      <c r="A66" s="45"/>
      <c r="B66" s="46"/>
      <c r="C66" s="46"/>
      <c r="D66" s="47"/>
      <c r="E66" s="38"/>
      <c r="F66" s="38"/>
      <c r="G66" s="44"/>
      <c r="H66" s="47"/>
    </row>
    <row r="67" spans="1:8" x14ac:dyDescent="0.3">
      <c r="A67" s="45"/>
      <c r="B67" s="46"/>
      <c r="C67" s="46"/>
      <c r="D67" s="47"/>
      <c r="E67" s="38"/>
      <c r="F67" s="38"/>
      <c r="G67" s="44"/>
      <c r="H67" s="47"/>
    </row>
    <row r="68" spans="1:8" x14ac:dyDescent="0.3">
      <c r="A68" s="45"/>
      <c r="B68" s="46"/>
      <c r="C68" s="46"/>
      <c r="D68" s="47"/>
      <c r="E68" s="38"/>
      <c r="F68" s="38"/>
      <c r="G68" s="44"/>
      <c r="H68" s="47"/>
    </row>
    <row r="69" spans="1:8" x14ac:dyDescent="0.3">
      <c r="A69" s="45"/>
      <c r="B69" s="46"/>
      <c r="C69" s="46"/>
      <c r="D69" s="47"/>
      <c r="E69" s="38"/>
      <c r="F69" s="38"/>
      <c r="G69" s="44"/>
      <c r="H69" s="47"/>
    </row>
    <row r="70" spans="1:8" x14ac:dyDescent="0.3">
      <c r="A70" s="45"/>
      <c r="B70" s="46"/>
      <c r="C70" s="46"/>
      <c r="D70" s="47"/>
      <c r="E70" s="38"/>
      <c r="F70" s="38"/>
      <c r="G70" s="44"/>
      <c r="H70" s="47"/>
    </row>
    <row r="71" spans="1:8" x14ac:dyDescent="0.3">
      <c r="A71" s="45"/>
      <c r="B71" s="46"/>
      <c r="C71" s="46"/>
      <c r="D71" s="47"/>
      <c r="E71" s="38"/>
      <c r="F71" s="38"/>
      <c r="G71" s="44"/>
      <c r="H71" s="47"/>
    </row>
    <row r="72" spans="1:8" x14ac:dyDescent="0.3">
      <c r="A72" s="45"/>
      <c r="B72" s="46"/>
      <c r="C72" s="46"/>
      <c r="D72" s="47"/>
      <c r="E72" s="38"/>
      <c r="F72" s="38"/>
      <c r="G72" s="44"/>
      <c r="H72" s="47"/>
    </row>
    <row r="73" spans="1:8" x14ac:dyDescent="0.3">
      <c r="A73" s="45"/>
      <c r="B73" s="46"/>
      <c r="C73" s="46"/>
      <c r="D73" s="47"/>
      <c r="E73" s="38"/>
      <c r="F73" s="38"/>
      <c r="G73" s="44"/>
      <c r="H73" s="47"/>
    </row>
    <row r="74" spans="1:8" x14ac:dyDescent="0.3">
      <c r="A74" s="45"/>
      <c r="B74" s="46"/>
      <c r="C74" s="46"/>
      <c r="D74" s="47"/>
      <c r="E74" s="38"/>
      <c r="F74" s="38"/>
      <c r="G74" s="44"/>
      <c r="H74" s="47"/>
    </row>
    <row r="75" spans="1:8" x14ac:dyDescent="0.3">
      <c r="A75" s="45"/>
      <c r="B75" s="46"/>
      <c r="C75" s="46"/>
      <c r="D75" s="47"/>
      <c r="E75" s="38"/>
      <c r="F75" s="38"/>
      <c r="G75" s="44"/>
      <c r="H75" s="47"/>
    </row>
    <row r="76" spans="1:8" x14ac:dyDescent="0.3">
      <c r="A76" s="45"/>
      <c r="B76" s="46"/>
      <c r="C76" s="46"/>
      <c r="D76" s="47"/>
      <c r="E76" s="38"/>
      <c r="F76" s="38"/>
      <c r="G76" s="44"/>
      <c r="H76" s="47"/>
    </row>
    <row r="77" spans="1:8" x14ac:dyDescent="0.3">
      <c r="A77" s="45"/>
      <c r="B77" s="46"/>
      <c r="C77" s="46"/>
      <c r="D77" s="47"/>
      <c r="E77" s="38"/>
      <c r="F77" s="38"/>
      <c r="G77" s="44"/>
      <c r="H77" s="47"/>
    </row>
    <row r="78" spans="1:8" x14ac:dyDescent="0.3">
      <c r="A78" s="45"/>
      <c r="B78" s="46"/>
      <c r="C78" s="46"/>
      <c r="D78" s="47"/>
      <c r="E78" s="38"/>
      <c r="F78" s="38"/>
      <c r="G78" s="44"/>
      <c r="H78" s="47"/>
    </row>
    <row r="79" spans="1:8" x14ac:dyDescent="0.3">
      <c r="A79" s="45"/>
      <c r="B79" s="46"/>
      <c r="C79" s="46"/>
      <c r="D79" s="47"/>
      <c r="E79" s="38"/>
      <c r="F79" s="38"/>
      <c r="G79" s="44"/>
      <c r="H79" s="47"/>
    </row>
    <row r="80" spans="1:8" x14ac:dyDescent="0.3">
      <c r="A80" s="45"/>
      <c r="B80" s="46"/>
      <c r="C80" s="46"/>
      <c r="D80" s="47"/>
      <c r="E80" s="38"/>
      <c r="F80" s="38"/>
      <c r="G80" s="44"/>
      <c r="H80" s="47"/>
    </row>
    <row r="81" spans="1:8" x14ac:dyDescent="0.3">
      <c r="A81" s="45"/>
      <c r="B81" s="46"/>
      <c r="C81" s="46"/>
      <c r="D81" s="47"/>
      <c r="E81" s="38"/>
      <c r="F81" s="38"/>
      <c r="G81" s="44"/>
      <c r="H81" s="47"/>
    </row>
    <row r="82" spans="1:8" x14ac:dyDescent="0.3">
      <c r="A82" s="45"/>
      <c r="B82" s="46"/>
      <c r="C82" s="46"/>
      <c r="D82" s="47"/>
      <c r="E82" s="38"/>
      <c r="F82" s="38"/>
      <c r="G82" s="44"/>
      <c r="H82" s="47"/>
    </row>
    <row r="83" spans="1:8" x14ac:dyDescent="0.3">
      <c r="A83" s="45"/>
      <c r="B83" s="46"/>
      <c r="C83" s="46"/>
      <c r="D83" s="47"/>
      <c r="E83" s="38"/>
      <c r="F83" s="38"/>
      <c r="G83" s="44"/>
      <c r="H83" s="47"/>
    </row>
    <row r="84" spans="1:8" x14ac:dyDescent="0.3">
      <c r="A84" s="45"/>
      <c r="B84" s="46"/>
      <c r="C84" s="46"/>
      <c r="D84" s="47"/>
      <c r="E84" s="38"/>
      <c r="F84" s="38"/>
      <c r="G84" s="44"/>
      <c r="H84" s="47"/>
    </row>
    <row r="85" spans="1:8" x14ac:dyDescent="0.3">
      <c r="A85" s="45"/>
      <c r="B85" s="46"/>
      <c r="C85" s="46"/>
      <c r="D85" s="47"/>
      <c r="E85" s="38"/>
      <c r="F85" s="38"/>
      <c r="G85" s="44"/>
      <c r="H85" s="47"/>
    </row>
    <row r="86" spans="1:8" x14ac:dyDescent="0.3">
      <c r="A86" s="45"/>
      <c r="B86" s="46"/>
      <c r="C86" s="46"/>
      <c r="D86" s="47"/>
      <c r="E86" s="38"/>
      <c r="F86" s="38"/>
      <c r="G86" s="44"/>
      <c r="H86" s="47"/>
    </row>
    <row r="87" spans="1:8" x14ac:dyDescent="0.3">
      <c r="A87" s="45"/>
      <c r="B87" s="46"/>
      <c r="C87" s="46"/>
      <c r="D87" s="47"/>
      <c r="E87" s="38"/>
      <c r="F87" s="38"/>
      <c r="G87" s="44"/>
      <c r="H87" s="47"/>
    </row>
    <row r="88" spans="1:8" x14ac:dyDescent="0.3">
      <c r="A88" s="45"/>
      <c r="B88" s="46"/>
      <c r="C88" s="46"/>
      <c r="D88" s="47"/>
      <c r="E88" s="38"/>
      <c r="F88" s="38"/>
      <c r="G88" s="44"/>
      <c r="H88" s="47"/>
    </row>
    <row r="89" spans="1:8" x14ac:dyDescent="0.3">
      <c r="A89" s="45"/>
      <c r="B89" s="46"/>
      <c r="C89" s="46"/>
      <c r="D89" s="47"/>
      <c r="E89" s="38"/>
      <c r="F89" s="38"/>
      <c r="G89" s="44"/>
      <c r="H89" s="47"/>
    </row>
    <row r="90" spans="1:8" x14ac:dyDescent="0.3">
      <c r="A90" s="45"/>
      <c r="B90" s="46"/>
      <c r="C90" s="46"/>
      <c r="D90" s="47"/>
      <c r="E90" s="38"/>
      <c r="F90" s="38"/>
      <c r="G90" s="44"/>
      <c r="H90" s="47"/>
    </row>
    <row r="91" spans="1:8" x14ac:dyDescent="0.3">
      <c r="A91" s="45"/>
      <c r="B91" s="46"/>
      <c r="C91" s="46"/>
      <c r="D91" s="47"/>
      <c r="E91" s="38"/>
      <c r="F91" s="38"/>
      <c r="G91" s="44"/>
      <c r="H91" s="47"/>
    </row>
    <row r="92" spans="1:8" x14ac:dyDescent="0.3">
      <c r="A92" s="45"/>
      <c r="B92" s="46"/>
      <c r="C92" s="46"/>
      <c r="D92" s="47"/>
      <c r="E92" s="38"/>
      <c r="F92" s="38"/>
      <c r="G92" s="44"/>
      <c r="H92" s="47"/>
    </row>
    <row r="93" spans="1:8" x14ac:dyDescent="0.3">
      <c r="A93" s="45"/>
      <c r="B93" s="46"/>
      <c r="C93" s="46"/>
      <c r="D93" s="47"/>
      <c r="E93" s="38"/>
      <c r="F93" s="38"/>
      <c r="G93" s="44"/>
      <c r="H93" s="47"/>
    </row>
    <row r="94" spans="1:8" x14ac:dyDescent="0.3">
      <c r="A94" s="45"/>
      <c r="B94" s="46"/>
      <c r="C94" s="46"/>
      <c r="D94" s="47"/>
      <c r="E94" s="38"/>
      <c r="F94" s="38"/>
      <c r="G94" s="44"/>
      <c r="H94" s="47"/>
    </row>
    <row r="95" spans="1:8" x14ac:dyDescent="0.3">
      <c r="A95" s="45"/>
      <c r="B95" s="46"/>
      <c r="C95" s="46"/>
      <c r="D95" s="47"/>
      <c r="E95" s="38"/>
      <c r="F95" s="38"/>
      <c r="G95" s="44"/>
      <c r="H95" s="47"/>
    </row>
    <row r="96" spans="1:8" x14ac:dyDescent="0.3">
      <c r="A96" s="45"/>
      <c r="B96" s="46"/>
      <c r="C96" s="46"/>
      <c r="D96" s="47"/>
      <c r="E96" s="38"/>
      <c r="F96" s="38"/>
      <c r="G96" s="44"/>
      <c r="H96" s="47"/>
    </row>
    <row r="97" spans="1:8" x14ac:dyDescent="0.3">
      <c r="A97" s="45"/>
      <c r="B97" s="46"/>
      <c r="C97" s="46"/>
      <c r="D97" s="47"/>
      <c r="E97" s="38"/>
      <c r="F97" s="38"/>
      <c r="G97" s="44"/>
      <c r="H97" s="47"/>
    </row>
    <row r="98" spans="1:8" x14ac:dyDescent="0.3">
      <c r="A98" s="45"/>
      <c r="B98" s="46"/>
      <c r="C98" s="46"/>
      <c r="D98" s="47"/>
      <c r="E98" s="38"/>
      <c r="F98" s="38"/>
      <c r="G98" s="44"/>
      <c r="H98" s="47"/>
    </row>
    <row r="99" spans="1:8" x14ac:dyDescent="0.3">
      <c r="A99" s="45"/>
      <c r="B99" s="46"/>
      <c r="C99" s="46"/>
      <c r="D99" s="47"/>
      <c r="E99" s="38"/>
      <c r="F99" s="38"/>
      <c r="G99" s="44"/>
      <c r="H99" s="47"/>
    </row>
    <row r="100" spans="1:8" x14ac:dyDescent="0.3">
      <c r="A100" s="45"/>
      <c r="B100" s="46"/>
      <c r="C100" s="46"/>
      <c r="D100" s="47"/>
      <c r="E100" s="38"/>
      <c r="F100" s="38"/>
      <c r="G100" s="44"/>
      <c r="H100" s="47"/>
    </row>
    <row r="101" spans="1:8" x14ac:dyDescent="0.3">
      <c r="A101" s="45"/>
      <c r="B101" s="46"/>
      <c r="C101" s="46"/>
      <c r="D101" s="47"/>
      <c r="E101" s="38"/>
      <c r="F101" s="38"/>
      <c r="G101" s="44"/>
      <c r="H101" s="47"/>
    </row>
    <row r="102" spans="1:8" x14ac:dyDescent="0.3">
      <c r="A102" s="45"/>
      <c r="B102" s="46"/>
      <c r="C102" s="46"/>
      <c r="D102" s="47"/>
      <c r="E102" s="38"/>
      <c r="F102" s="38"/>
      <c r="G102" s="44"/>
      <c r="H102" s="47"/>
    </row>
    <row r="103" spans="1:8" x14ac:dyDescent="0.3">
      <c r="A103" s="45"/>
      <c r="B103" s="46"/>
      <c r="C103" s="46"/>
      <c r="D103" s="47"/>
      <c r="E103" s="38"/>
      <c r="F103" s="38"/>
      <c r="G103" s="44"/>
      <c r="H103" s="47"/>
    </row>
    <row r="104" spans="1:8" x14ac:dyDescent="0.3">
      <c r="A104" s="45"/>
      <c r="B104" s="46"/>
      <c r="C104" s="46"/>
      <c r="D104" s="47"/>
      <c r="E104" s="38"/>
      <c r="F104" s="38"/>
      <c r="G104" s="44"/>
      <c r="H104" s="47"/>
    </row>
    <row r="105" spans="1:8" x14ac:dyDescent="0.3">
      <c r="A105" s="45"/>
      <c r="B105" s="46"/>
      <c r="C105" s="46"/>
      <c r="D105" s="47"/>
      <c r="E105" s="38"/>
      <c r="F105" s="38"/>
      <c r="G105" s="44"/>
      <c r="H105" s="47"/>
    </row>
    <row r="106" spans="1:8" x14ac:dyDescent="0.3">
      <c r="A106" s="45"/>
      <c r="B106" s="46"/>
      <c r="C106" s="46"/>
      <c r="D106" s="47"/>
      <c r="E106" s="38"/>
      <c r="F106" s="38"/>
      <c r="G106" s="44"/>
      <c r="H106" s="47"/>
    </row>
    <row r="107" spans="1:8" x14ac:dyDescent="0.3">
      <c r="A107" s="45"/>
      <c r="B107" s="46"/>
      <c r="C107" s="46"/>
      <c r="D107" s="47"/>
      <c r="E107" s="38"/>
      <c r="F107" s="38"/>
      <c r="G107" s="44"/>
      <c r="H107" s="47"/>
    </row>
    <row r="108" spans="1:8" x14ac:dyDescent="0.3">
      <c r="A108" s="45"/>
      <c r="B108" s="46"/>
      <c r="C108" s="46"/>
      <c r="D108" s="47"/>
      <c r="E108" s="38"/>
      <c r="F108" s="38"/>
      <c r="G108" s="44"/>
      <c r="H108" s="47"/>
    </row>
    <row r="109" spans="1:8" x14ac:dyDescent="0.3">
      <c r="A109" s="45"/>
      <c r="B109" s="46"/>
      <c r="C109" s="46"/>
      <c r="D109" s="47"/>
      <c r="E109" s="38"/>
      <c r="F109" s="38"/>
      <c r="G109" s="44"/>
      <c r="H109" s="47"/>
    </row>
    <row r="110" spans="1:8" x14ac:dyDescent="0.3">
      <c r="A110" s="45"/>
      <c r="B110" s="46"/>
      <c r="C110" s="46"/>
      <c r="D110" s="47"/>
      <c r="E110" s="38"/>
      <c r="F110" s="38"/>
      <c r="G110" s="44"/>
      <c r="H110" s="47"/>
    </row>
    <row r="111" spans="1:8" x14ac:dyDescent="0.3">
      <c r="A111" s="45"/>
      <c r="B111" s="46"/>
      <c r="C111" s="46"/>
      <c r="D111" s="47"/>
      <c r="E111" s="38"/>
      <c r="F111" s="38"/>
      <c r="G111" s="44"/>
      <c r="H111" s="47"/>
    </row>
    <row r="112" spans="1:8" x14ac:dyDescent="0.3">
      <c r="A112" s="45"/>
      <c r="B112" s="46"/>
      <c r="C112" s="46"/>
      <c r="D112" s="47"/>
      <c r="E112" s="38"/>
      <c r="F112" s="38"/>
      <c r="G112" s="44"/>
      <c r="H112" s="47"/>
    </row>
    <row r="113" spans="1:8" x14ac:dyDescent="0.3">
      <c r="A113" s="45"/>
      <c r="B113" s="46"/>
      <c r="C113" s="46"/>
      <c r="D113" s="47"/>
      <c r="E113" s="38"/>
      <c r="F113" s="38"/>
      <c r="G113" s="44"/>
      <c r="H113" s="47"/>
    </row>
    <row r="114" spans="1:8" x14ac:dyDescent="0.3">
      <c r="A114" s="45"/>
      <c r="B114" s="46"/>
      <c r="C114" s="46"/>
      <c r="D114" s="47"/>
      <c r="E114" s="38"/>
      <c r="F114" s="38"/>
      <c r="G114" s="44"/>
      <c r="H114" s="47"/>
    </row>
    <row r="115" spans="1:8" x14ac:dyDescent="0.3">
      <c r="A115" s="45"/>
      <c r="B115" s="46"/>
      <c r="C115" s="46"/>
      <c r="D115" s="47"/>
      <c r="E115" s="38"/>
      <c r="F115" s="38"/>
      <c r="G115" s="44"/>
      <c r="H115" s="47"/>
    </row>
    <row r="116" spans="1:8" x14ac:dyDescent="0.3">
      <c r="A116" s="45"/>
      <c r="B116" s="46"/>
      <c r="C116" s="46"/>
      <c r="D116" s="47"/>
      <c r="E116" s="38"/>
      <c r="F116" s="38"/>
      <c r="G116" s="44"/>
      <c r="H116" s="47"/>
    </row>
    <row r="117" spans="1:8" x14ac:dyDescent="0.3">
      <c r="A117" s="45"/>
      <c r="B117" s="46"/>
      <c r="C117" s="46"/>
      <c r="D117" s="47"/>
      <c r="E117" s="38"/>
      <c r="F117" s="38"/>
      <c r="G117" s="44"/>
      <c r="H117" s="47"/>
    </row>
    <row r="118" spans="1:8" x14ac:dyDescent="0.3">
      <c r="A118" s="45"/>
      <c r="B118" s="46"/>
      <c r="C118" s="46"/>
      <c r="D118" s="47"/>
      <c r="E118" s="38"/>
      <c r="F118" s="38"/>
      <c r="G118" s="44"/>
      <c r="H118" s="47"/>
    </row>
    <row r="119" spans="1:8" x14ac:dyDescent="0.3">
      <c r="A119" s="45"/>
      <c r="B119" s="46"/>
      <c r="C119" s="46"/>
      <c r="D119" s="47"/>
      <c r="E119" s="38"/>
      <c r="F119" s="38"/>
      <c r="G119" s="44"/>
      <c r="H119" s="47"/>
    </row>
    <row r="120" spans="1:8" x14ac:dyDescent="0.3">
      <c r="A120" s="45"/>
      <c r="B120" s="46"/>
      <c r="C120" s="46"/>
      <c r="D120" s="47"/>
      <c r="E120" s="38"/>
      <c r="F120" s="38"/>
      <c r="G120" s="44"/>
      <c r="H120" s="47"/>
    </row>
    <row r="121" spans="1:8" x14ac:dyDescent="0.3">
      <c r="A121" s="45"/>
      <c r="B121" s="46"/>
      <c r="C121" s="46"/>
      <c r="D121" s="47"/>
      <c r="E121" s="38"/>
      <c r="F121" s="38"/>
      <c r="G121" s="44"/>
      <c r="H121" s="47"/>
    </row>
    <row r="122" spans="1:8" x14ac:dyDescent="0.3">
      <c r="A122" s="45"/>
      <c r="B122" s="46"/>
      <c r="C122" s="46"/>
      <c r="D122" s="47"/>
      <c r="E122" s="38"/>
      <c r="F122" s="38"/>
      <c r="G122" s="44"/>
      <c r="H122" s="47"/>
    </row>
    <row r="123" spans="1:8" x14ac:dyDescent="0.3">
      <c r="A123" s="45"/>
      <c r="B123" s="46"/>
      <c r="C123" s="46"/>
      <c r="D123" s="47"/>
      <c r="E123" s="38"/>
      <c r="F123" s="38"/>
      <c r="G123" s="44"/>
      <c r="H123" s="47"/>
    </row>
    <row r="124" spans="1:8" x14ac:dyDescent="0.3">
      <c r="A124" s="45"/>
      <c r="B124" s="46"/>
      <c r="C124" s="46"/>
      <c r="D124" s="47"/>
      <c r="E124" s="38"/>
      <c r="F124" s="38"/>
      <c r="G124" s="44"/>
      <c r="H124" s="47"/>
    </row>
    <row r="125" spans="1:8" x14ac:dyDescent="0.3">
      <c r="A125" s="45"/>
      <c r="B125" s="46"/>
      <c r="C125" s="46"/>
      <c r="D125" s="47"/>
      <c r="E125" s="38"/>
      <c r="F125" s="38"/>
      <c r="G125" s="44"/>
      <c r="H125" s="47"/>
    </row>
    <row r="126" spans="1:8" x14ac:dyDescent="0.3">
      <c r="A126" s="45"/>
      <c r="B126" s="46"/>
      <c r="C126" s="46"/>
      <c r="D126" s="47"/>
      <c r="E126" s="38"/>
      <c r="F126" s="38"/>
      <c r="G126" s="44"/>
      <c r="H126" s="47"/>
    </row>
    <row r="127" spans="1:8" x14ac:dyDescent="0.3">
      <c r="A127" s="45"/>
      <c r="B127" s="46"/>
      <c r="C127" s="46"/>
      <c r="D127" s="47"/>
      <c r="E127" s="38"/>
      <c r="F127" s="38"/>
      <c r="G127" s="44"/>
      <c r="H127" s="47"/>
    </row>
    <row r="128" spans="1:8" x14ac:dyDescent="0.3">
      <c r="A128" s="45"/>
      <c r="B128" s="46"/>
      <c r="C128" s="46"/>
      <c r="D128" s="47"/>
      <c r="E128" s="38"/>
      <c r="F128" s="38"/>
      <c r="G128" s="44"/>
      <c r="H128" s="47"/>
    </row>
    <row r="129" spans="1:8" x14ac:dyDescent="0.3">
      <c r="A129" s="45"/>
      <c r="B129" s="46"/>
      <c r="C129" s="46"/>
      <c r="D129" s="47"/>
      <c r="E129" s="38"/>
      <c r="F129" s="38"/>
      <c r="G129" s="44"/>
      <c r="H129" s="47"/>
    </row>
    <row r="130" spans="1:8" x14ac:dyDescent="0.3">
      <c r="A130" s="45"/>
      <c r="B130" s="46"/>
      <c r="C130" s="46"/>
      <c r="D130" s="47"/>
      <c r="E130" s="38"/>
      <c r="F130" s="38"/>
      <c r="G130" s="44"/>
      <c r="H130" s="47"/>
    </row>
    <row r="131" spans="1:8" x14ac:dyDescent="0.3">
      <c r="A131" s="45"/>
      <c r="B131" s="46"/>
      <c r="C131" s="46"/>
      <c r="D131" s="47"/>
      <c r="E131" s="38"/>
      <c r="F131" s="38"/>
      <c r="G131" s="44"/>
      <c r="H131" s="47"/>
    </row>
    <row r="132" spans="1:8" x14ac:dyDescent="0.3">
      <c r="A132" s="45"/>
      <c r="B132" s="46"/>
      <c r="C132" s="46"/>
      <c r="D132" s="47"/>
      <c r="E132" s="38"/>
      <c r="F132" s="38"/>
      <c r="G132" s="44"/>
      <c r="H132" s="47"/>
    </row>
    <row r="133" spans="1:8" x14ac:dyDescent="0.3">
      <c r="A133" s="45"/>
      <c r="B133" s="46"/>
      <c r="C133" s="46"/>
      <c r="D133" s="47"/>
      <c r="E133" s="38"/>
      <c r="F133" s="38"/>
      <c r="G133" s="44"/>
      <c r="H133" s="47"/>
    </row>
    <row r="134" spans="1:8" x14ac:dyDescent="0.3">
      <c r="A134" s="45"/>
      <c r="B134" s="46"/>
      <c r="C134" s="46"/>
      <c r="D134" s="47"/>
      <c r="E134" s="38"/>
      <c r="F134" s="38"/>
      <c r="G134" s="44"/>
      <c r="H134" s="47"/>
    </row>
    <row r="135" spans="1:8" x14ac:dyDescent="0.3">
      <c r="A135" s="45"/>
      <c r="B135" s="46"/>
      <c r="C135" s="46"/>
      <c r="D135" s="47"/>
      <c r="E135" s="38"/>
      <c r="F135" s="38"/>
      <c r="G135" s="44"/>
      <c r="H135" s="47"/>
    </row>
    <row r="136" spans="1:8" x14ac:dyDescent="0.3">
      <c r="A136" s="45"/>
      <c r="B136" s="46"/>
      <c r="C136" s="46"/>
      <c r="D136" s="47"/>
      <c r="E136" s="38"/>
      <c r="F136" s="38"/>
      <c r="G136" s="44"/>
      <c r="H136" s="47"/>
    </row>
    <row r="137" spans="1:8" x14ac:dyDescent="0.3">
      <c r="A137" s="45"/>
      <c r="B137" s="46"/>
      <c r="C137" s="46"/>
      <c r="D137" s="47"/>
      <c r="E137" s="38"/>
      <c r="F137" s="38"/>
      <c r="G137" s="44"/>
      <c r="H137" s="47"/>
    </row>
    <row r="138" spans="1:8" x14ac:dyDescent="0.3">
      <c r="A138" s="45"/>
      <c r="B138" s="46"/>
      <c r="C138" s="46"/>
      <c r="D138" s="47"/>
      <c r="E138" s="38"/>
      <c r="F138" s="38"/>
      <c r="G138" s="44"/>
      <c r="H138" s="47"/>
    </row>
    <row r="139" spans="1:8" x14ac:dyDescent="0.3">
      <c r="A139" s="45"/>
      <c r="B139" s="46"/>
      <c r="C139" s="46"/>
      <c r="D139" s="47"/>
      <c r="E139" s="38"/>
      <c r="F139" s="38"/>
      <c r="G139" s="44"/>
      <c r="H139" s="47"/>
    </row>
    <row r="140" spans="1:8" x14ac:dyDescent="0.3">
      <c r="A140" s="45"/>
      <c r="B140" s="46"/>
      <c r="C140" s="46"/>
      <c r="D140" s="47"/>
      <c r="E140" s="38"/>
      <c r="F140" s="38"/>
      <c r="G140" s="44"/>
      <c r="H140" s="47"/>
    </row>
    <row r="141" spans="1:8" x14ac:dyDescent="0.3">
      <c r="A141" s="45"/>
      <c r="B141" s="46"/>
      <c r="C141" s="46"/>
      <c r="D141" s="47"/>
      <c r="E141" s="38"/>
      <c r="F141" s="38"/>
      <c r="G141" s="44"/>
      <c r="H141" s="47"/>
    </row>
    <row r="142" spans="1:8" x14ac:dyDescent="0.3">
      <c r="A142" s="45"/>
      <c r="B142" s="46"/>
      <c r="C142" s="46"/>
      <c r="D142" s="47"/>
      <c r="E142" s="38"/>
      <c r="F142" s="38"/>
      <c r="G142" s="44"/>
      <c r="H142" s="47"/>
    </row>
    <row r="143" spans="1:8" x14ac:dyDescent="0.3">
      <c r="A143" s="45"/>
      <c r="B143" s="46"/>
      <c r="C143" s="46"/>
      <c r="D143" s="47"/>
      <c r="E143" s="38"/>
      <c r="F143" s="38"/>
      <c r="G143" s="44"/>
      <c r="H143" s="47"/>
    </row>
    <row r="144" spans="1:8" x14ac:dyDescent="0.3">
      <c r="A144" s="45"/>
      <c r="B144" s="46"/>
      <c r="C144" s="46"/>
      <c r="D144" s="47"/>
      <c r="E144" s="38"/>
      <c r="F144" s="38"/>
      <c r="G144" s="44"/>
      <c r="H144" s="47"/>
    </row>
    <row r="145" spans="1:8" x14ac:dyDescent="0.3">
      <c r="A145" s="45"/>
      <c r="B145" s="46"/>
      <c r="C145" s="46"/>
      <c r="D145" s="47"/>
      <c r="E145" s="38"/>
      <c r="F145" s="38"/>
      <c r="G145" s="44"/>
      <c r="H145" s="47"/>
    </row>
    <row r="146" spans="1:8" x14ac:dyDescent="0.3">
      <c r="A146" s="45"/>
      <c r="B146" s="46"/>
      <c r="C146" s="46"/>
      <c r="D146" s="47"/>
      <c r="E146" s="38"/>
      <c r="F146" s="38"/>
      <c r="G146" s="44"/>
      <c r="H146" s="47"/>
    </row>
    <row r="147" spans="1:8" x14ac:dyDescent="0.3">
      <c r="A147" s="45"/>
      <c r="B147" s="46"/>
      <c r="C147" s="46"/>
      <c r="D147" s="47"/>
      <c r="E147" s="38"/>
      <c r="F147" s="38"/>
      <c r="G147" s="44"/>
      <c r="H147" s="47"/>
    </row>
    <row r="148" spans="1:8" x14ac:dyDescent="0.3">
      <c r="A148" s="45"/>
      <c r="B148" s="46"/>
      <c r="C148" s="46"/>
      <c r="D148" s="47"/>
      <c r="E148" s="38"/>
      <c r="F148" s="38"/>
      <c r="G148" s="44"/>
      <c r="H148" s="47"/>
    </row>
    <row r="149" spans="1:8" x14ac:dyDescent="0.3">
      <c r="A149" s="45"/>
      <c r="B149" s="46"/>
      <c r="C149" s="46"/>
      <c r="D149" s="47"/>
      <c r="E149" s="38"/>
      <c r="F149" s="38"/>
      <c r="G149" s="44"/>
      <c r="H149" s="47"/>
    </row>
    <row r="150" spans="1:8" x14ac:dyDescent="0.3">
      <c r="A150" s="45"/>
      <c r="B150" s="46"/>
      <c r="C150" s="46"/>
      <c r="D150" s="47"/>
      <c r="E150" s="38"/>
      <c r="F150" s="38"/>
      <c r="G150" s="44"/>
      <c r="H150" s="47"/>
    </row>
    <row r="151" spans="1:8" x14ac:dyDescent="0.3">
      <c r="A151" s="45"/>
      <c r="B151" s="46"/>
      <c r="C151" s="46"/>
      <c r="D151" s="47"/>
      <c r="F151" s="30"/>
      <c r="G151" s="44"/>
      <c r="H151" s="47"/>
    </row>
    <row r="152" spans="1:8" x14ac:dyDescent="0.3">
      <c r="A152" s="45"/>
      <c r="B152" s="46"/>
      <c r="C152" s="46"/>
      <c r="D152" s="47"/>
      <c r="F152" s="30"/>
      <c r="G152" s="44"/>
      <c r="H152" s="47"/>
    </row>
    <row r="153" spans="1:8" x14ac:dyDescent="0.3">
      <c r="A153" s="45"/>
      <c r="B153" s="46"/>
      <c r="C153" s="46"/>
      <c r="D153" s="47"/>
      <c r="F153" s="30"/>
      <c r="G153" s="44"/>
      <c r="H153" s="47"/>
    </row>
    <row r="154" spans="1:8" x14ac:dyDescent="0.3">
      <c r="A154" s="45"/>
      <c r="B154" s="46"/>
      <c r="C154" s="46"/>
      <c r="D154" s="47"/>
      <c r="F154" s="30"/>
      <c r="G154" s="44"/>
      <c r="H154" s="47"/>
    </row>
    <row r="155" spans="1:8" x14ac:dyDescent="0.3">
      <c r="A155" s="45"/>
      <c r="B155" s="46"/>
      <c r="C155" s="46"/>
      <c r="D155" s="47"/>
      <c r="F155" s="30"/>
      <c r="G155" s="44"/>
      <c r="H155" s="47"/>
    </row>
    <row r="156" spans="1:8" x14ac:dyDescent="0.3">
      <c r="A156" s="45"/>
      <c r="B156" s="46"/>
      <c r="C156" s="46"/>
      <c r="D156" s="47"/>
      <c r="F156" s="30"/>
      <c r="G156" s="44"/>
      <c r="H156" s="47"/>
    </row>
    <row r="157" spans="1:8" x14ac:dyDescent="0.3">
      <c r="A157" s="45"/>
      <c r="B157" s="46"/>
      <c r="C157" s="46"/>
      <c r="D157" s="47"/>
      <c r="F157" s="30"/>
      <c r="G157" s="44"/>
      <c r="H157" s="47"/>
    </row>
    <row r="158" spans="1:8" x14ac:dyDescent="0.3">
      <c r="A158" s="45"/>
      <c r="B158" s="46"/>
      <c r="C158" s="46"/>
      <c r="D158" s="47"/>
      <c r="F158" s="30"/>
      <c r="G158" s="44"/>
      <c r="H158" s="47"/>
    </row>
    <row r="159" spans="1:8" x14ac:dyDescent="0.3">
      <c r="A159" s="45"/>
      <c r="B159" s="46"/>
      <c r="C159" s="46"/>
      <c r="D159" s="47"/>
      <c r="F159" s="30"/>
      <c r="G159" s="44"/>
      <c r="H159" s="47"/>
    </row>
    <row r="160" spans="1:8" x14ac:dyDescent="0.3">
      <c r="A160" s="45"/>
      <c r="B160" s="46"/>
      <c r="C160" s="46"/>
      <c r="D160" s="47"/>
      <c r="F160" s="30"/>
      <c r="G160" s="44"/>
      <c r="H160" s="47"/>
    </row>
    <row r="161" spans="1:8" x14ac:dyDescent="0.3">
      <c r="A161" s="45"/>
      <c r="B161" s="46"/>
      <c r="C161" s="46"/>
      <c r="D161" s="47"/>
      <c r="F161" s="30"/>
      <c r="G161" s="44"/>
      <c r="H161" s="47"/>
    </row>
    <row r="162" spans="1:8" x14ac:dyDescent="0.3">
      <c r="A162" s="45"/>
      <c r="B162" s="46"/>
      <c r="C162" s="46"/>
      <c r="D162" s="47"/>
      <c r="F162" s="30"/>
      <c r="G162" s="44"/>
      <c r="H162" s="47"/>
    </row>
    <row r="163" spans="1:8" x14ac:dyDescent="0.3">
      <c r="A163" s="45"/>
      <c r="B163" s="46"/>
      <c r="C163" s="46"/>
      <c r="D163" s="47"/>
      <c r="F163" s="30"/>
      <c r="G163" s="44"/>
      <c r="H163" s="47"/>
    </row>
    <row r="164" spans="1:8" x14ac:dyDescent="0.3">
      <c r="A164" s="45"/>
      <c r="B164" s="46"/>
      <c r="C164" s="46"/>
      <c r="D164" s="47"/>
      <c r="F164" s="30"/>
      <c r="G164" s="44"/>
      <c r="H164" s="47"/>
    </row>
    <row r="165" spans="1:8" x14ac:dyDescent="0.3">
      <c r="A165" s="45"/>
      <c r="B165" s="46"/>
      <c r="C165" s="46"/>
      <c r="D165" s="47"/>
      <c r="F165" s="30"/>
      <c r="G165" s="44"/>
      <c r="H165" s="47"/>
    </row>
    <row r="166" spans="1:8" x14ac:dyDescent="0.3">
      <c r="A166" s="45"/>
      <c r="B166" s="46"/>
      <c r="C166" s="46"/>
      <c r="D166" s="47"/>
      <c r="F166" s="30"/>
      <c r="G166" s="44"/>
      <c r="H166" s="47"/>
    </row>
    <row r="167" spans="1:8" x14ac:dyDescent="0.3">
      <c r="A167" s="45"/>
      <c r="B167" s="46"/>
      <c r="C167" s="46"/>
      <c r="D167" s="47"/>
      <c r="F167" s="30"/>
      <c r="G167" s="44"/>
      <c r="H167" s="47"/>
    </row>
    <row r="168" spans="1:8" x14ac:dyDescent="0.3">
      <c r="A168" s="45"/>
      <c r="B168" s="46"/>
      <c r="C168" s="46"/>
      <c r="D168" s="47"/>
      <c r="F168" s="30"/>
      <c r="G168" s="44"/>
      <c r="H168" s="47"/>
    </row>
    <row r="169" spans="1:8" x14ac:dyDescent="0.3">
      <c r="A169" s="45"/>
      <c r="B169" s="46"/>
      <c r="C169" s="46"/>
      <c r="D169" s="47"/>
      <c r="F169" s="30"/>
      <c r="G169" s="44"/>
      <c r="H169" s="47"/>
    </row>
    <row r="170" spans="1:8" x14ac:dyDescent="0.3">
      <c r="A170" s="45"/>
      <c r="B170" s="46"/>
      <c r="C170" s="46"/>
      <c r="D170" s="47"/>
      <c r="F170" s="30"/>
      <c r="G170" s="44"/>
      <c r="H170" s="47"/>
    </row>
    <row r="171" spans="1:8" x14ac:dyDescent="0.3">
      <c r="A171" s="45"/>
      <c r="B171" s="46"/>
      <c r="C171" s="46"/>
      <c r="D171" s="47"/>
      <c r="F171" s="30"/>
      <c r="G171" s="44"/>
      <c r="H171" s="47"/>
    </row>
    <row r="172" spans="1:8" x14ac:dyDescent="0.3">
      <c r="A172" s="45"/>
      <c r="B172" s="46"/>
      <c r="C172" s="46"/>
      <c r="D172" s="47"/>
      <c r="F172" s="30"/>
      <c r="G172" s="44"/>
      <c r="H172" s="47"/>
    </row>
    <row r="173" spans="1:8" x14ac:dyDescent="0.3">
      <c r="A173" s="45"/>
      <c r="B173" s="46"/>
      <c r="C173" s="46"/>
      <c r="D173" s="47"/>
      <c r="F173" s="30"/>
      <c r="G173" s="44"/>
      <c r="H173" s="47"/>
    </row>
    <row r="174" spans="1:8" x14ac:dyDescent="0.3">
      <c r="A174" s="45"/>
      <c r="B174" s="46"/>
      <c r="C174" s="46"/>
      <c r="D174" s="47"/>
      <c r="F174" s="30"/>
      <c r="G174" s="44"/>
      <c r="H174" s="47"/>
    </row>
    <row r="175" spans="1:8" x14ac:dyDescent="0.3">
      <c r="A175" s="45"/>
      <c r="B175" s="46"/>
      <c r="C175" s="46"/>
      <c r="D175" s="47"/>
      <c r="F175" s="30"/>
      <c r="G175" s="44"/>
      <c r="H175" s="47"/>
    </row>
    <row r="176" spans="1:8" x14ac:dyDescent="0.3">
      <c r="A176" s="45"/>
      <c r="B176" s="46"/>
      <c r="C176" s="46"/>
      <c r="D176" s="47"/>
      <c r="F176" s="30"/>
      <c r="G176" s="44"/>
      <c r="H176" s="47"/>
    </row>
    <row r="177" spans="1:8" x14ac:dyDescent="0.3">
      <c r="A177" s="45"/>
      <c r="B177" s="46"/>
      <c r="C177" s="46"/>
      <c r="D177" s="47"/>
      <c r="F177" s="30"/>
      <c r="G177" s="44"/>
      <c r="H177" s="47"/>
    </row>
    <row r="178" spans="1:8" x14ac:dyDescent="0.3">
      <c r="A178" s="45"/>
      <c r="B178" s="46"/>
      <c r="C178" s="46"/>
      <c r="D178" s="47"/>
      <c r="F178" s="30"/>
      <c r="G178" s="44"/>
      <c r="H178" s="47"/>
    </row>
    <row r="179" spans="1:8" x14ac:dyDescent="0.3">
      <c r="A179" s="45"/>
      <c r="B179" s="46"/>
      <c r="C179" s="46"/>
      <c r="D179" s="47"/>
      <c r="F179" s="30"/>
      <c r="G179" s="44"/>
      <c r="H179" s="47"/>
    </row>
    <row r="180" spans="1:8" x14ac:dyDescent="0.3">
      <c r="A180" s="45"/>
      <c r="B180" s="46"/>
      <c r="C180" s="46"/>
      <c r="D180" s="47"/>
      <c r="F180" s="30"/>
      <c r="G180" s="44"/>
      <c r="H180" s="47"/>
    </row>
    <row r="181" spans="1:8" x14ac:dyDescent="0.3">
      <c r="A181" s="45"/>
      <c r="B181" s="46"/>
      <c r="C181" s="46"/>
      <c r="D181" s="47"/>
      <c r="F181" s="30"/>
      <c r="G181" s="44"/>
      <c r="H181" s="47"/>
    </row>
    <row r="182" spans="1:8" x14ac:dyDescent="0.3">
      <c r="A182" s="45"/>
      <c r="B182" s="46"/>
      <c r="C182" s="46"/>
      <c r="D182" s="47"/>
      <c r="F182" s="30"/>
      <c r="G182" s="44"/>
      <c r="H182" s="47"/>
    </row>
    <row r="183" spans="1:8" x14ac:dyDescent="0.3">
      <c r="A183" s="45"/>
      <c r="B183" s="46"/>
      <c r="C183" s="46"/>
      <c r="D183" s="47"/>
      <c r="F183" s="30"/>
      <c r="G183" s="44"/>
      <c r="H183" s="47"/>
    </row>
    <row r="184" spans="1:8" x14ac:dyDescent="0.3">
      <c r="A184" s="45"/>
      <c r="B184" s="46"/>
      <c r="C184" s="46"/>
      <c r="D184" s="47"/>
      <c r="F184" s="30"/>
      <c r="G184" s="44"/>
      <c r="H184" s="47"/>
    </row>
    <row r="185" spans="1:8" x14ac:dyDescent="0.3">
      <c r="A185" s="45"/>
      <c r="B185" s="46"/>
      <c r="C185" s="46"/>
      <c r="D185" s="47"/>
      <c r="F185" s="30"/>
      <c r="G185" s="44"/>
      <c r="H185" s="47"/>
    </row>
    <row r="186" spans="1:8" x14ac:dyDescent="0.3">
      <c r="A186" s="45"/>
      <c r="B186" s="46"/>
      <c r="C186" s="46"/>
      <c r="D186" s="47"/>
      <c r="F186" s="30"/>
      <c r="G186" s="44"/>
      <c r="H186" s="47"/>
    </row>
    <row r="187" spans="1:8" x14ac:dyDescent="0.3">
      <c r="A187" s="45"/>
      <c r="B187" s="46"/>
      <c r="C187" s="46"/>
      <c r="D187" s="47"/>
      <c r="F187" s="30"/>
      <c r="G187" s="44"/>
      <c r="H187" s="47"/>
    </row>
    <row r="188" spans="1:8" x14ac:dyDescent="0.3">
      <c r="A188" s="45"/>
      <c r="B188" s="46"/>
      <c r="C188" s="46"/>
      <c r="D188" s="47"/>
      <c r="F188" s="30"/>
      <c r="G188" s="44"/>
      <c r="H188" s="47"/>
    </row>
    <row r="189" spans="1:8" x14ac:dyDescent="0.3">
      <c r="A189" s="45"/>
      <c r="B189" s="46"/>
      <c r="C189" s="46"/>
      <c r="D189" s="47"/>
      <c r="F189" s="30"/>
      <c r="G189" s="44"/>
      <c r="H189" s="47"/>
    </row>
    <row r="190" spans="1:8" x14ac:dyDescent="0.3">
      <c r="A190" s="45"/>
      <c r="B190" s="46"/>
      <c r="C190" s="46"/>
      <c r="D190" s="47"/>
      <c r="F190" s="30"/>
      <c r="G190" s="44"/>
      <c r="H190" s="47"/>
    </row>
    <row r="191" spans="1:8" x14ac:dyDescent="0.3">
      <c r="A191" s="45"/>
      <c r="B191" s="46"/>
      <c r="C191" s="46"/>
      <c r="D191" s="47"/>
      <c r="F191" s="30"/>
      <c r="G191" s="44"/>
      <c r="H191" s="47"/>
    </row>
    <row r="192" spans="1:8" x14ac:dyDescent="0.3">
      <c r="A192" s="45"/>
      <c r="B192" s="46"/>
      <c r="C192" s="46"/>
      <c r="D192" s="47"/>
      <c r="F192" s="30"/>
      <c r="G192" s="44"/>
      <c r="H192" s="47"/>
    </row>
    <row r="193" spans="1:8" x14ac:dyDescent="0.3">
      <c r="A193" s="45"/>
      <c r="B193" s="46"/>
      <c r="C193" s="46"/>
      <c r="D193" s="47"/>
      <c r="F193" s="30"/>
      <c r="G193" s="44"/>
      <c r="H193" s="47"/>
    </row>
    <row r="194" spans="1:8" x14ac:dyDescent="0.3">
      <c r="A194" s="45"/>
      <c r="B194" s="46"/>
      <c r="C194" s="46"/>
      <c r="D194" s="47"/>
      <c r="F194" s="30"/>
      <c r="G194" s="44"/>
      <c r="H194" s="47"/>
    </row>
    <row r="195" spans="1:8" x14ac:dyDescent="0.3">
      <c r="A195" s="45"/>
      <c r="B195" s="46"/>
      <c r="C195" s="46"/>
      <c r="D195" s="47"/>
      <c r="F195" s="30"/>
      <c r="G195" s="44"/>
      <c r="H195" s="47"/>
    </row>
    <row r="196" spans="1:8" x14ac:dyDescent="0.3">
      <c r="A196" s="45"/>
      <c r="B196" s="46"/>
      <c r="C196" s="46"/>
      <c r="D196" s="47"/>
      <c r="F196" s="30"/>
      <c r="G196" s="44"/>
      <c r="H196" s="47"/>
    </row>
    <row r="197" spans="1:8" x14ac:dyDescent="0.3">
      <c r="A197" s="45"/>
      <c r="B197" s="46"/>
      <c r="C197" s="46"/>
      <c r="D197" s="47"/>
      <c r="F197" s="30"/>
      <c r="G197" s="44"/>
      <c r="H197" s="47"/>
    </row>
    <row r="198" spans="1:8" x14ac:dyDescent="0.3">
      <c r="A198" s="45"/>
      <c r="B198" s="46"/>
      <c r="C198" s="46"/>
      <c r="D198" s="47"/>
      <c r="F198" s="30"/>
      <c r="G198" s="44"/>
      <c r="H198" s="47"/>
    </row>
    <row r="199" spans="1:8" x14ac:dyDescent="0.3">
      <c r="A199" s="45"/>
      <c r="B199" s="46"/>
      <c r="C199" s="46"/>
      <c r="D199" s="47"/>
      <c r="F199" s="30"/>
      <c r="G199" s="44"/>
      <c r="H199" s="47"/>
    </row>
    <row r="200" spans="1:8" x14ac:dyDescent="0.3">
      <c r="A200" s="45"/>
      <c r="B200" s="46"/>
      <c r="C200" s="46"/>
      <c r="D200" s="47"/>
      <c r="F200" s="30"/>
      <c r="G200" s="44"/>
      <c r="H200" s="47"/>
    </row>
    <row r="201" spans="1:8" x14ac:dyDescent="0.3">
      <c r="A201" s="45"/>
      <c r="B201" s="46"/>
      <c r="C201" s="46"/>
      <c r="D201" s="47"/>
      <c r="F201" s="30"/>
      <c r="G201" s="44"/>
      <c r="H201" s="47"/>
    </row>
    <row r="202" spans="1:8" x14ac:dyDescent="0.3">
      <c r="A202" s="45"/>
      <c r="B202" s="46"/>
      <c r="C202" s="46"/>
      <c r="D202" s="47"/>
      <c r="F202" s="30"/>
      <c r="G202" s="44"/>
      <c r="H202" s="47"/>
    </row>
    <row r="203" spans="1:8" x14ac:dyDescent="0.3">
      <c r="A203" s="45"/>
      <c r="B203" s="46"/>
      <c r="C203" s="46"/>
      <c r="D203" s="47"/>
      <c r="F203" s="30"/>
      <c r="G203" s="44"/>
      <c r="H203" s="47"/>
    </row>
    <row r="204" spans="1:8" x14ac:dyDescent="0.3">
      <c r="A204" s="45"/>
      <c r="B204" s="46"/>
      <c r="C204" s="46"/>
      <c r="D204" s="47"/>
      <c r="F204" s="30"/>
      <c r="G204" s="44"/>
      <c r="H204" s="47"/>
    </row>
    <row r="205" spans="1:8" x14ac:dyDescent="0.3">
      <c r="A205" s="45"/>
      <c r="B205" s="46"/>
      <c r="C205" s="46"/>
      <c r="D205" s="47"/>
      <c r="F205" s="30"/>
      <c r="G205" s="44"/>
      <c r="H205" s="47"/>
    </row>
    <row r="206" spans="1:8" x14ac:dyDescent="0.3">
      <c r="A206" s="45"/>
      <c r="B206" s="46"/>
      <c r="C206" s="46"/>
      <c r="D206" s="47"/>
      <c r="F206" s="30"/>
      <c r="G206" s="44"/>
      <c r="H206" s="47"/>
    </row>
    <row r="207" spans="1:8" x14ac:dyDescent="0.3">
      <c r="A207" s="45"/>
      <c r="B207" s="46"/>
      <c r="C207" s="46"/>
      <c r="D207" s="47"/>
      <c r="F207" s="30"/>
      <c r="G207" s="44"/>
      <c r="H207" s="47"/>
    </row>
    <row r="208" spans="1:8" x14ac:dyDescent="0.3">
      <c r="A208" s="45"/>
      <c r="B208" s="46"/>
      <c r="C208" s="46"/>
      <c r="D208" s="47"/>
      <c r="F208" s="30"/>
      <c r="G208" s="44"/>
      <c r="H208" s="47"/>
    </row>
    <row r="209" spans="1:8" x14ac:dyDescent="0.3">
      <c r="A209" s="45"/>
      <c r="B209" s="46"/>
      <c r="C209" s="46"/>
      <c r="D209" s="47"/>
      <c r="F209" s="30"/>
      <c r="G209" s="44"/>
      <c r="H209" s="47"/>
    </row>
    <row r="210" spans="1:8" x14ac:dyDescent="0.3">
      <c r="A210" s="45"/>
      <c r="B210" s="46"/>
      <c r="C210" s="46"/>
      <c r="D210" s="47"/>
      <c r="F210" s="30"/>
      <c r="G210" s="44"/>
      <c r="H210" s="47"/>
    </row>
    <row r="211" spans="1:8" x14ac:dyDescent="0.3">
      <c r="A211" s="45"/>
      <c r="B211" s="46"/>
      <c r="C211" s="46"/>
      <c r="D211" s="47"/>
      <c r="F211" s="30"/>
      <c r="G211" s="44"/>
      <c r="H211" s="47"/>
    </row>
    <row r="212" spans="1:8" x14ac:dyDescent="0.3">
      <c r="A212" s="45"/>
      <c r="B212" s="46"/>
      <c r="C212" s="46"/>
      <c r="D212" s="47"/>
      <c r="F212" s="30"/>
      <c r="G212" s="44"/>
      <c r="H212" s="47"/>
    </row>
    <row r="213" spans="1:8" x14ac:dyDescent="0.3">
      <c r="A213" s="45"/>
      <c r="B213" s="46"/>
      <c r="C213" s="46"/>
      <c r="D213" s="47"/>
      <c r="F213" s="30"/>
      <c r="G213" s="44"/>
      <c r="H213" s="47"/>
    </row>
    <row r="214" spans="1:8" x14ac:dyDescent="0.3">
      <c r="A214" s="45"/>
      <c r="B214" s="46"/>
      <c r="C214" s="46"/>
      <c r="D214" s="47"/>
      <c r="F214" s="30"/>
      <c r="G214" s="44"/>
      <c r="H214" s="47"/>
    </row>
    <row r="215" spans="1:8" x14ac:dyDescent="0.3">
      <c r="A215" s="45"/>
      <c r="B215" s="46"/>
      <c r="C215" s="46"/>
      <c r="D215" s="47"/>
      <c r="F215" s="30"/>
      <c r="G215" s="44"/>
      <c r="H215" s="47"/>
    </row>
    <row r="216" spans="1:8" x14ac:dyDescent="0.3">
      <c r="A216" s="45"/>
      <c r="B216" s="46"/>
      <c r="C216" s="46"/>
      <c r="D216" s="47"/>
      <c r="F216" s="30"/>
      <c r="G216" s="44"/>
      <c r="H216" s="47"/>
    </row>
    <row r="217" spans="1:8" x14ac:dyDescent="0.3">
      <c r="A217" s="45"/>
      <c r="B217" s="46"/>
      <c r="C217" s="46"/>
      <c r="D217" s="47"/>
      <c r="F217" s="30"/>
      <c r="G217" s="44"/>
      <c r="H217" s="47"/>
    </row>
    <row r="218" spans="1:8" x14ac:dyDescent="0.3">
      <c r="A218" s="45"/>
      <c r="B218" s="46"/>
      <c r="C218" s="46"/>
      <c r="D218" s="47"/>
      <c r="F218" s="30"/>
      <c r="G218" s="44"/>
      <c r="H218" s="47"/>
    </row>
    <row r="219" spans="1:8" x14ac:dyDescent="0.3">
      <c r="A219" s="45"/>
      <c r="B219" s="46"/>
      <c r="C219" s="46"/>
      <c r="D219" s="47"/>
      <c r="F219" s="30"/>
      <c r="G219" s="44"/>
      <c r="H219" s="47"/>
    </row>
    <row r="220" spans="1:8" x14ac:dyDescent="0.3">
      <c r="A220" s="45"/>
      <c r="B220" s="46"/>
      <c r="C220" s="46"/>
      <c r="D220" s="47"/>
      <c r="F220" s="30"/>
      <c r="G220" s="44"/>
      <c r="H220" s="47"/>
    </row>
    <row r="221" spans="1:8" x14ac:dyDescent="0.3">
      <c r="A221" s="45"/>
      <c r="B221" s="46"/>
      <c r="C221" s="46"/>
      <c r="D221" s="47"/>
      <c r="F221" s="30"/>
      <c r="G221" s="44"/>
      <c r="H221" s="47"/>
    </row>
    <row r="222" spans="1:8" x14ac:dyDescent="0.3">
      <c r="A222" s="45"/>
      <c r="B222" s="46"/>
      <c r="C222" s="46"/>
      <c r="D222" s="47"/>
      <c r="F222" s="30"/>
      <c r="G222" s="44"/>
      <c r="H222" s="47"/>
    </row>
    <row r="223" spans="1:8" x14ac:dyDescent="0.3">
      <c r="A223" s="45"/>
      <c r="B223" s="46"/>
      <c r="C223" s="46"/>
      <c r="D223" s="47"/>
      <c r="F223" s="30"/>
      <c r="G223" s="44"/>
      <c r="H223" s="47"/>
    </row>
    <row r="224" spans="1:8" x14ac:dyDescent="0.3">
      <c r="A224" s="45"/>
      <c r="B224" s="46"/>
      <c r="C224" s="46"/>
      <c r="D224" s="47"/>
      <c r="F224" s="30"/>
      <c r="G224" s="44"/>
      <c r="H224" s="47"/>
    </row>
    <row r="225" spans="1:8" x14ac:dyDescent="0.3">
      <c r="A225" s="45"/>
      <c r="B225" s="46"/>
      <c r="C225" s="46"/>
      <c r="D225" s="47"/>
      <c r="F225" s="30"/>
      <c r="G225" s="44"/>
      <c r="H225" s="47"/>
    </row>
    <row r="226" spans="1:8" x14ac:dyDescent="0.3">
      <c r="A226" s="45"/>
      <c r="B226" s="46"/>
      <c r="C226" s="46"/>
      <c r="D226" s="47"/>
      <c r="F226" s="30"/>
      <c r="G226" s="44"/>
      <c r="H226" s="47"/>
    </row>
    <row r="227" spans="1:8" x14ac:dyDescent="0.3">
      <c r="A227" s="45"/>
      <c r="B227" s="46"/>
      <c r="C227" s="46"/>
      <c r="D227" s="47"/>
      <c r="F227" s="30"/>
      <c r="G227" s="44"/>
      <c r="H227" s="47"/>
    </row>
    <row r="228" spans="1:8" x14ac:dyDescent="0.3">
      <c r="A228" s="45"/>
      <c r="B228" s="46"/>
      <c r="C228" s="46"/>
      <c r="D228" s="47"/>
      <c r="F228" s="30"/>
      <c r="G228" s="44"/>
      <c r="H228" s="47"/>
    </row>
    <row r="229" spans="1:8" x14ac:dyDescent="0.3">
      <c r="A229" s="45"/>
      <c r="B229" s="46"/>
      <c r="C229" s="46"/>
      <c r="D229" s="47"/>
      <c r="F229" s="30"/>
      <c r="G229" s="44"/>
      <c r="H229" s="47"/>
    </row>
    <row r="230" spans="1:8" x14ac:dyDescent="0.3">
      <c r="A230" s="45"/>
      <c r="B230" s="46"/>
      <c r="C230" s="46"/>
      <c r="D230" s="47"/>
      <c r="F230" s="30"/>
      <c r="G230" s="44"/>
      <c r="H230" s="47"/>
    </row>
    <row r="231" spans="1:8" x14ac:dyDescent="0.3">
      <c r="A231" s="45"/>
      <c r="B231" s="46"/>
      <c r="C231" s="46"/>
      <c r="D231" s="47"/>
      <c r="F231" s="30"/>
      <c r="G231" s="44"/>
      <c r="H231" s="47"/>
    </row>
    <row r="232" spans="1:8" x14ac:dyDescent="0.3">
      <c r="A232" s="45"/>
      <c r="B232" s="46"/>
      <c r="C232" s="46"/>
      <c r="D232" s="47"/>
      <c r="F232" s="30"/>
      <c r="G232" s="44"/>
      <c r="H232" s="47"/>
    </row>
    <row r="233" spans="1:8" x14ac:dyDescent="0.3">
      <c r="A233" s="45"/>
      <c r="B233" s="46"/>
      <c r="C233" s="46"/>
      <c r="D233" s="47"/>
      <c r="F233" s="30"/>
      <c r="G233" s="44"/>
      <c r="H233" s="47"/>
    </row>
    <row r="234" spans="1:8" x14ac:dyDescent="0.3">
      <c r="A234" s="45"/>
      <c r="B234" s="46"/>
      <c r="C234" s="46"/>
      <c r="D234" s="47"/>
      <c r="F234" s="30"/>
      <c r="G234" s="44"/>
      <c r="H234" s="47"/>
    </row>
    <row r="235" spans="1:8" x14ac:dyDescent="0.3">
      <c r="A235" s="45"/>
      <c r="B235" s="46"/>
      <c r="C235" s="46"/>
      <c r="D235" s="47"/>
      <c r="F235" s="30"/>
      <c r="G235" s="44"/>
      <c r="H235" s="47"/>
    </row>
    <row r="236" spans="1:8" x14ac:dyDescent="0.3">
      <c r="A236" s="45"/>
      <c r="B236" s="46"/>
      <c r="C236" s="46"/>
      <c r="D236" s="47"/>
      <c r="F236" s="30"/>
      <c r="G236" s="44"/>
      <c r="H236" s="47"/>
    </row>
    <row r="237" spans="1:8" x14ac:dyDescent="0.3">
      <c r="A237" s="45"/>
      <c r="B237" s="46"/>
      <c r="C237" s="46"/>
      <c r="D237" s="47"/>
      <c r="F237" s="30"/>
      <c r="G237" s="44"/>
      <c r="H237" s="47"/>
    </row>
    <row r="238" spans="1:8" x14ac:dyDescent="0.3">
      <c r="A238" s="45"/>
      <c r="B238" s="46"/>
      <c r="C238" s="46"/>
      <c r="D238" s="47"/>
      <c r="F238" s="30"/>
      <c r="G238" s="44"/>
      <c r="H238" s="47"/>
    </row>
    <row r="239" spans="1:8" x14ac:dyDescent="0.3">
      <c r="A239" s="45"/>
      <c r="B239" s="46"/>
      <c r="C239" s="46"/>
      <c r="D239" s="47"/>
      <c r="F239" s="30"/>
      <c r="G239" s="44"/>
      <c r="H239" s="47"/>
    </row>
    <row r="240" spans="1:8" x14ac:dyDescent="0.3">
      <c r="A240" s="45"/>
      <c r="B240" s="46"/>
      <c r="C240" s="46"/>
      <c r="D240" s="47"/>
      <c r="F240" s="30"/>
      <c r="G240" s="44"/>
      <c r="H240" s="47"/>
    </row>
    <row r="241" spans="1:8" x14ac:dyDescent="0.3">
      <c r="A241" s="45"/>
      <c r="B241" s="46"/>
      <c r="C241" s="46"/>
      <c r="D241" s="47"/>
      <c r="F241" s="30"/>
      <c r="G241" s="44"/>
      <c r="H241" s="47"/>
    </row>
    <row r="242" spans="1:8" x14ac:dyDescent="0.3">
      <c r="A242" s="45"/>
      <c r="B242" s="46"/>
      <c r="C242" s="46"/>
      <c r="D242" s="47"/>
      <c r="F242" s="30"/>
      <c r="G242" s="44"/>
      <c r="H242" s="47"/>
    </row>
    <row r="243" spans="1:8" x14ac:dyDescent="0.3">
      <c r="A243" s="45"/>
      <c r="B243" s="46"/>
      <c r="C243" s="46"/>
      <c r="D243" s="47"/>
      <c r="F243" s="30"/>
      <c r="G243" s="44"/>
      <c r="H243" s="47"/>
    </row>
    <row r="244" spans="1:8" x14ac:dyDescent="0.3">
      <c r="A244" s="45"/>
      <c r="B244" s="46"/>
      <c r="C244" s="46"/>
      <c r="D244" s="47"/>
      <c r="F244" s="30"/>
      <c r="G244" s="44"/>
      <c r="H244" s="47"/>
    </row>
    <row r="245" spans="1:8" x14ac:dyDescent="0.3">
      <c r="A245" s="45"/>
      <c r="B245" s="46"/>
      <c r="C245" s="46"/>
      <c r="D245" s="47"/>
      <c r="F245" s="30"/>
      <c r="G245" s="44"/>
      <c r="H245" s="47"/>
    </row>
    <row r="246" spans="1:8" x14ac:dyDescent="0.3">
      <c r="A246" s="45"/>
      <c r="B246" s="46"/>
      <c r="C246" s="46"/>
      <c r="D246" s="47"/>
      <c r="F246" s="30"/>
      <c r="G246" s="44"/>
      <c r="H246" s="47"/>
    </row>
    <row r="247" spans="1:8" x14ac:dyDescent="0.3">
      <c r="A247" s="45"/>
      <c r="B247" s="46"/>
      <c r="C247" s="46"/>
      <c r="D247" s="47"/>
      <c r="F247" s="30"/>
      <c r="G247" s="44"/>
      <c r="H247" s="47"/>
    </row>
    <row r="248" spans="1:8" x14ac:dyDescent="0.3">
      <c r="A248" s="45"/>
      <c r="B248" s="46"/>
      <c r="C248" s="46"/>
      <c r="D248" s="47"/>
      <c r="F248" s="30"/>
      <c r="G248" s="44"/>
      <c r="H248" s="47"/>
    </row>
    <row r="249" spans="1:8" x14ac:dyDescent="0.3">
      <c r="A249" s="45"/>
      <c r="B249" s="46"/>
      <c r="C249" s="46"/>
      <c r="D249" s="47"/>
      <c r="F249" s="30"/>
      <c r="G249" s="44"/>
      <c r="H249" s="47"/>
    </row>
    <row r="250" spans="1:8" x14ac:dyDescent="0.3">
      <c r="A250" s="45"/>
      <c r="B250" s="46"/>
      <c r="C250" s="46"/>
      <c r="D250" s="47"/>
      <c r="F250" s="30"/>
      <c r="G250" s="44"/>
      <c r="H250" s="47"/>
    </row>
    <row r="251" spans="1:8" x14ac:dyDescent="0.3">
      <c r="A251" s="45"/>
      <c r="B251" s="46"/>
      <c r="C251" s="46"/>
      <c r="D251" s="47"/>
      <c r="F251" s="30"/>
      <c r="G251" s="44"/>
      <c r="H251" s="47"/>
    </row>
    <row r="252" spans="1:8" x14ac:dyDescent="0.3">
      <c r="A252" s="45"/>
      <c r="B252" s="46"/>
      <c r="C252" s="46"/>
      <c r="D252" s="47"/>
      <c r="F252" s="30"/>
      <c r="G252" s="44"/>
      <c r="H252" s="47"/>
    </row>
    <row r="253" spans="1:8" x14ac:dyDescent="0.3">
      <c r="A253" s="45"/>
      <c r="B253" s="46"/>
      <c r="C253" s="46"/>
      <c r="D253" s="47"/>
      <c r="F253" s="30"/>
      <c r="G253" s="44"/>
      <c r="H253" s="47"/>
    </row>
    <row r="254" spans="1:8" x14ac:dyDescent="0.3">
      <c r="A254" s="45"/>
      <c r="B254" s="46"/>
      <c r="C254" s="46"/>
      <c r="D254" s="47"/>
      <c r="F254" s="30"/>
      <c r="G254" s="44"/>
      <c r="H254" s="47"/>
    </row>
    <row r="255" spans="1:8" x14ac:dyDescent="0.3">
      <c r="A255" s="45"/>
      <c r="B255" s="46"/>
      <c r="C255" s="46"/>
      <c r="D255" s="47"/>
      <c r="F255" s="30"/>
      <c r="G255" s="44"/>
      <c r="H255" s="47"/>
    </row>
    <row r="256" spans="1:8" x14ac:dyDescent="0.3">
      <c r="A256" s="45"/>
      <c r="B256" s="46"/>
      <c r="C256" s="46"/>
      <c r="D256" s="47"/>
      <c r="F256" s="30"/>
      <c r="G256" s="44"/>
      <c r="H256" s="47"/>
    </row>
    <row r="257" spans="1:8" x14ac:dyDescent="0.3">
      <c r="A257" s="45"/>
      <c r="B257" s="46"/>
      <c r="C257" s="46"/>
      <c r="D257" s="47"/>
      <c r="F257" s="30"/>
      <c r="G257" s="44"/>
      <c r="H257" s="47"/>
    </row>
    <row r="258" spans="1:8" x14ac:dyDescent="0.3">
      <c r="A258" s="45"/>
      <c r="B258" s="46"/>
      <c r="C258" s="46"/>
      <c r="D258" s="47"/>
      <c r="F258" s="30"/>
      <c r="G258" s="44"/>
      <c r="H258" s="47"/>
    </row>
    <row r="259" spans="1:8" x14ac:dyDescent="0.3">
      <c r="A259" s="45"/>
      <c r="B259" s="46"/>
      <c r="C259" s="46"/>
      <c r="D259" s="47"/>
      <c r="F259" s="30"/>
      <c r="G259" s="44"/>
      <c r="H259" s="47"/>
    </row>
    <row r="260" spans="1:8" x14ac:dyDescent="0.3">
      <c r="A260" s="45"/>
      <c r="B260" s="46"/>
      <c r="C260" s="46"/>
      <c r="D260" s="47"/>
      <c r="F260" s="30"/>
      <c r="G260" s="44"/>
      <c r="H260" s="47"/>
    </row>
    <row r="261" spans="1:8" x14ac:dyDescent="0.3">
      <c r="A261" s="45"/>
      <c r="B261" s="46"/>
      <c r="C261" s="46"/>
      <c r="D261" s="47"/>
      <c r="F261" s="30"/>
      <c r="G261" s="44"/>
      <c r="H261" s="47"/>
    </row>
    <row r="262" spans="1:8" x14ac:dyDescent="0.3">
      <c r="A262" s="45"/>
      <c r="B262" s="46"/>
      <c r="C262" s="46"/>
      <c r="D262" s="47"/>
      <c r="F262" s="30"/>
      <c r="G262" s="44"/>
      <c r="H262" s="47"/>
    </row>
    <row r="263" spans="1:8" x14ac:dyDescent="0.3">
      <c r="A263" s="45"/>
      <c r="B263" s="46"/>
      <c r="C263" s="46"/>
      <c r="D263" s="47"/>
      <c r="F263" s="30"/>
      <c r="G263" s="44"/>
      <c r="H263" s="47"/>
    </row>
    <row r="264" spans="1:8" x14ac:dyDescent="0.3">
      <c r="A264" s="45"/>
      <c r="B264" s="46"/>
      <c r="C264" s="46"/>
      <c r="D264" s="47"/>
      <c r="F264" s="30"/>
      <c r="G264" s="44"/>
      <c r="H264" s="47"/>
    </row>
    <row r="265" spans="1:8" x14ac:dyDescent="0.3">
      <c r="A265" s="45"/>
      <c r="B265" s="46"/>
      <c r="C265" s="46"/>
      <c r="D265" s="47"/>
      <c r="F265" s="30"/>
      <c r="G265" s="44"/>
      <c r="H265" s="47"/>
    </row>
    <row r="266" spans="1:8" x14ac:dyDescent="0.3">
      <c r="A266" s="45"/>
      <c r="B266" s="46"/>
      <c r="C266" s="46"/>
      <c r="D266" s="47"/>
      <c r="F266" s="30"/>
      <c r="G266" s="44"/>
      <c r="H266" s="47"/>
    </row>
    <row r="267" spans="1:8" x14ac:dyDescent="0.3">
      <c r="A267" s="45"/>
      <c r="B267" s="46"/>
      <c r="C267" s="46"/>
      <c r="D267" s="47"/>
      <c r="F267" s="30"/>
      <c r="G267" s="44"/>
      <c r="H267" s="47"/>
    </row>
    <row r="268" spans="1:8" x14ac:dyDescent="0.3">
      <c r="A268" s="45"/>
      <c r="B268" s="46"/>
      <c r="C268" s="46"/>
      <c r="D268" s="47"/>
      <c r="F268" s="30"/>
      <c r="G268" s="44"/>
      <c r="H268" s="47"/>
    </row>
    <row r="269" spans="1:8" x14ac:dyDescent="0.3">
      <c r="A269" s="45"/>
      <c r="B269" s="46"/>
      <c r="C269" s="46"/>
      <c r="D269" s="47"/>
      <c r="F269" s="30"/>
      <c r="G269" s="44"/>
      <c r="H269" s="47"/>
    </row>
    <row r="270" spans="1:8" x14ac:dyDescent="0.3">
      <c r="A270" s="45"/>
      <c r="B270" s="46"/>
      <c r="C270" s="46"/>
      <c r="D270" s="47"/>
      <c r="F270" s="30"/>
      <c r="G270" s="44"/>
      <c r="H270" s="47"/>
    </row>
    <row r="271" spans="1:8" x14ac:dyDescent="0.3">
      <c r="A271" s="45"/>
      <c r="B271" s="46"/>
      <c r="C271" s="46"/>
      <c r="D271" s="47"/>
      <c r="F271" s="30"/>
      <c r="G271" s="44"/>
      <c r="H271" s="47"/>
    </row>
    <row r="272" spans="1:8" x14ac:dyDescent="0.3">
      <c r="A272" s="45"/>
      <c r="B272" s="46"/>
      <c r="C272" s="46"/>
      <c r="D272" s="47"/>
      <c r="F272" s="30"/>
      <c r="G272" s="44"/>
      <c r="H272" s="47"/>
    </row>
    <row r="273" spans="1:8" x14ac:dyDescent="0.3">
      <c r="A273" s="45"/>
      <c r="B273" s="46"/>
      <c r="C273" s="46"/>
      <c r="D273" s="47"/>
      <c r="F273" s="30"/>
      <c r="G273" s="44"/>
      <c r="H273" s="47"/>
    </row>
    <row r="274" spans="1:8" x14ac:dyDescent="0.3">
      <c r="A274" s="45"/>
      <c r="B274" s="46"/>
      <c r="C274" s="46"/>
      <c r="D274" s="47"/>
      <c r="F274" s="30"/>
      <c r="G274" s="44"/>
      <c r="H274" s="47"/>
    </row>
    <row r="275" spans="1:8" x14ac:dyDescent="0.3">
      <c r="A275" s="45"/>
      <c r="B275" s="46"/>
      <c r="C275" s="46"/>
      <c r="D275" s="47"/>
      <c r="F275" s="30"/>
      <c r="G275" s="44"/>
      <c r="H275" s="47"/>
    </row>
    <row r="276" spans="1:8" x14ac:dyDescent="0.3">
      <c r="A276" s="45"/>
      <c r="B276" s="46"/>
      <c r="C276" s="46"/>
      <c r="D276" s="47"/>
      <c r="F276" s="30"/>
      <c r="G276" s="44"/>
      <c r="H276" s="47"/>
    </row>
    <row r="277" spans="1:8" x14ac:dyDescent="0.3">
      <c r="A277" s="45"/>
      <c r="B277" s="46"/>
      <c r="C277" s="46"/>
      <c r="D277" s="47"/>
      <c r="F277" s="30"/>
      <c r="G277" s="44"/>
      <c r="H277" s="47"/>
    </row>
    <row r="278" spans="1:8" x14ac:dyDescent="0.3">
      <c r="A278" s="45"/>
      <c r="B278" s="46"/>
      <c r="C278" s="46"/>
      <c r="D278" s="47"/>
      <c r="F278" s="30"/>
      <c r="G278" s="44"/>
      <c r="H278" s="47"/>
    </row>
    <row r="279" spans="1:8" x14ac:dyDescent="0.3">
      <c r="A279" s="45"/>
      <c r="B279" s="46"/>
      <c r="C279" s="46"/>
      <c r="D279" s="47"/>
      <c r="F279" s="30"/>
      <c r="G279" s="44"/>
      <c r="H279" s="47"/>
    </row>
    <row r="280" spans="1:8" x14ac:dyDescent="0.3">
      <c r="A280" s="45"/>
      <c r="B280" s="46"/>
      <c r="C280" s="46"/>
      <c r="D280" s="47"/>
      <c r="F280" s="30"/>
      <c r="G280" s="44"/>
      <c r="H280" s="47"/>
    </row>
    <row r="281" spans="1:8" x14ac:dyDescent="0.3">
      <c r="A281" s="45"/>
      <c r="B281" s="46"/>
      <c r="C281" s="46"/>
      <c r="D281" s="47"/>
      <c r="F281" s="30"/>
      <c r="G281" s="44"/>
      <c r="H281" s="47"/>
    </row>
    <row r="282" spans="1:8" x14ac:dyDescent="0.3">
      <c r="A282" s="45"/>
      <c r="B282" s="46"/>
      <c r="C282" s="46"/>
      <c r="D282" s="47"/>
      <c r="F282" s="30"/>
      <c r="G282" s="44"/>
      <c r="H282" s="47"/>
    </row>
    <row r="283" spans="1:8" x14ac:dyDescent="0.3">
      <c r="A283" s="45"/>
      <c r="B283" s="46"/>
      <c r="C283" s="46"/>
      <c r="D283" s="47"/>
      <c r="F283" s="30"/>
      <c r="G283" s="44"/>
      <c r="H283" s="47"/>
    </row>
    <row r="284" spans="1:8" x14ac:dyDescent="0.3">
      <c r="A284" s="45"/>
      <c r="B284" s="46"/>
      <c r="C284" s="46"/>
      <c r="D284" s="47"/>
      <c r="F284" s="30"/>
      <c r="G284" s="44"/>
      <c r="H284" s="47"/>
    </row>
    <row r="285" spans="1:8" x14ac:dyDescent="0.3">
      <c r="A285" s="45"/>
      <c r="B285" s="46"/>
      <c r="C285" s="46"/>
      <c r="D285" s="47"/>
      <c r="F285" s="30"/>
      <c r="G285" s="44"/>
      <c r="H285" s="47"/>
    </row>
    <row r="286" spans="1:8" x14ac:dyDescent="0.3">
      <c r="A286" s="45"/>
      <c r="B286" s="46"/>
      <c r="C286" s="46"/>
      <c r="D286" s="47"/>
      <c r="F286" s="30"/>
      <c r="G286" s="44"/>
      <c r="H286" s="47"/>
    </row>
    <row r="287" spans="1:8" x14ac:dyDescent="0.3">
      <c r="A287" s="45"/>
      <c r="B287" s="46"/>
      <c r="C287" s="46"/>
      <c r="D287" s="47"/>
      <c r="F287" s="30"/>
      <c r="G287" s="44"/>
      <c r="H287" s="47"/>
    </row>
    <row r="288" spans="1:8" x14ac:dyDescent="0.3">
      <c r="A288" s="45"/>
      <c r="B288" s="46"/>
      <c r="C288" s="46"/>
      <c r="D288" s="47"/>
      <c r="F288" s="30"/>
      <c r="G288" s="44"/>
      <c r="H288" s="47"/>
    </row>
    <row r="289" spans="1:8" x14ac:dyDescent="0.3">
      <c r="A289" s="45"/>
      <c r="B289" s="46"/>
      <c r="C289" s="46"/>
      <c r="D289" s="47"/>
      <c r="F289" s="30"/>
      <c r="G289" s="44"/>
      <c r="H289" s="47"/>
    </row>
    <row r="290" spans="1:8" x14ac:dyDescent="0.3">
      <c r="A290" s="45"/>
      <c r="B290" s="46"/>
      <c r="C290" s="46"/>
      <c r="D290" s="47"/>
      <c r="F290" s="30"/>
      <c r="G290" s="44"/>
      <c r="H290" s="47"/>
    </row>
    <row r="291" spans="1:8" x14ac:dyDescent="0.3">
      <c r="A291" s="45"/>
      <c r="B291" s="46"/>
      <c r="C291" s="46"/>
      <c r="D291" s="47"/>
      <c r="F291" s="30"/>
      <c r="G291" s="44"/>
      <c r="H291" s="47"/>
    </row>
    <row r="292" spans="1:8" x14ac:dyDescent="0.3">
      <c r="A292" s="45"/>
      <c r="B292" s="46"/>
      <c r="C292" s="46"/>
      <c r="D292" s="47"/>
      <c r="F292" s="30"/>
      <c r="G292" s="44"/>
      <c r="H292" s="47"/>
    </row>
    <row r="293" spans="1:8" x14ac:dyDescent="0.3">
      <c r="A293" s="45"/>
      <c r="B293" s="46"/>
      <c r="C293" s="46"/>
      <c r="D293" s="47"/>
      <c r="F293" s="30"/>
      <c r="G293" s="44"/>
      <c r="H293" s="47"/>
    </row>
    <row r="294" spans="1:8" x14ac:dyDescent="0.3">
      <c r="A294" s="45"/>
      <c r="B294" s="46"/>
      <c r="C294" s="46"/>
      <c r="D294" s="47"/>
      <c r="F294" s="30"/>
      <c r="G294" s="44"/>
      <c r="H294" s="47"/>
    </row>
    <row r="295" spans="1:8" x14ac:dyDescent="0.3">
      <c r="A295" s="45"/>
      <c r="B295" s="46"/>
      <c r="C295" s="46"/>
      <c r="D295" s="47"/>
      <c r="F295" s="30"/>
      <c r="G295" s="44"/>
      <c r="H295" s="47"/>
    </row>
    <row r="296" spans="1:8" x14ac:dyDescent="0.3">
      <c r="A296" s="45"/>
      <c r="B296" s="46"/>
      <c r="C296" s="46"/>
      <c r="D296" s="47"/>
      <c r="F296" s="30"/>
      <c r="G296" s="44"/>
      <c r="H296" s="47"/>
    </row>
    <row r="297" spans="1:8" x14ac:dyDescent="0.3">
      <c r="A297" s="45"/>
      <c r="B297" s="46"/>
      <c r="C297" s="46"/>
      <c r="D297" s="47"/>
      <c r="F297" s="30"/>
      <c r="G297" s="44"/>
      <c r="H297" s="47"/>
    </row>
    <row r="298" spans="1:8" x14ac:dyDescent="0.3">
      <c r="A298" s="45"/>
      <c r="B298" s="46"/>
      <c r="C298" s="46"/>
      <c r="D298" s="47"/>
      <c r="F298" s="30"/>
      <c r="G298" s="44"/>
      <c r="H298" s="47"/>
    </row>
    <row r="299" spans="1:8" x14ac:dyDescent="0.3">
      <c r="A299" s="45"/>
      <c r="B299" s="46"/>
      <c r="C299" s="46"/>
      <c r="D299" s="47"/>
      <c r="F299" s="30"/>
      <c r="G299" s="44"/>
      <c r="H299" s="47"/>
    </row>
    <row r="300" spans="1:8" x14ac:dyDescent="0.3">
      <c r="A300" s="45"/>
      <c r="B300" s="46"/>
      <c r="C300" s="46"/>
      <c r="D300" s="47"/>
      <c r="F300" s="30"/>
      <c r="G300" s="44"/>
      <c r="H300" s="47"/>
    </row>
    <row r="301" spans="1:8" x14ac:dyDescent="0.3">
      <c r="A301" s="45"/>
      <c r="B301" s="46"/>
      <c r="C301" s="46"/>
      <c r="D301" s="47"/>
      <c r="F301" s="30"/>
      <c r="G301" s="44"/>
      <c r="H301" s="47"/>
    </row>
    <row r="302" spans="1:8" x14ac:dyDescent="0.3">
      <c r="A302" s="45"/>
      <c r="B302" s="46"/>
      <c r="C302" s="46"/>
      <c r="D302" s="47"/>
      <c r="F302" s="30"/>
      <c r="G302" s="44"/>
      <c r="H302" s="47"/>
    </row>
    <row r="303" spans="1:8" x14ac:dyDescent="0.3">
      <c r="A303" s="45"/>
      <c r="B303" s="46"/>
      <c r="C303" s="46"/>
      <c r="D303" s="47"/>
      <c r="F303" s="30"/>
      <c r="G303" s="44"/>
      <c r="H303" s="47"/>
    </row>
    <row r="304" spans="1:8" x14ac:dyDescent="0.3">
      <c r="A304" s="45"/>
      <c r="B304" s="46"/>
      <c r="C304" s="46"/>
      <c r="D304" s="47"/>
      <c r="F304" s="30"/>
      <c r="G304" s="44"/>
      <c r="H304" s="47"/>
    </row>
    <row r="305" spans="1:8" x14ac:dyDescent="0.3">
      <c r="A305" s="45"/>
      <c r="B305" s="46"/>
      <c r="C305" s="46"/>
      <c r="D305" s="47"/>
      <c r="F305" s="30"/>
      <c r="G305" s="44"/>
      <c r="H305" s="47"/>
    </row>
    <row r="306" spans="1:8" x14ac:dyDescent="0.3">
      <c r="A306" s="45"/>
      <c r="B306" s="46"/>
      <c r="C306" s="46"/>
      <c r="D306" s="47"/>
      <c r="F306" s="30"/>
      <c r="G306" s="44"/>
      <c r="H306" s="47"/>
    </row>
    <row r="307" spans="1:8" x14ac:dyDescent="0.3">
      <c r="A307" s="45"/>
      <c r="B307" s="46"/>
      <c r="C307" s="46"/>
      <c r="D307" s="47"/>
      <c r="F307" s="30"/>
      <c r="G307" s="44"/>
      <c r="H307" s="47"/>
    </row>
    <row r="308" spans="1:8" x14ac:dyDescent="0.3">
      <c r="A308" s="45"/>
      <c r="B308" s="46"/>
      <c r="C308" s="46"/>
      <c r="D308" s="47"/>
      <c r="F308" s="30"/>
      <c r="G308" s="44"/>
      <c r="H308" s="47"/>
    </row>
    <row r="309" spans="1:8" x14ac:dyDescent="0.3">
      <c r="A309" s="45"/>
      <c r="B309" s="46"/>
      <c r="C309" s="46"/>
      <c r="D309" s="47"/>
      <c r="F309" s="30"/>
      <c r="G309" s="44"/>
      <c r="H309" s="47"/>
    </row>
    <row r="310" spans="1:8" x14ac:dyDescent="0.3">
      <c r="A310" s="45"/>
      <c r="B310" s="46"/>
      <c r="C310" s="46"/>
      <c r="D310" s="47"/>
      <c r="F310" s="30"/>
      <c r="G310" s="44"/>
      <c r="H310" s="47"/>
    </row>
    <row r="311" spans="1:8" x14ac:dyDescent="0.3">
      <c r="A311" s="45"/>
      <c r="B311" s="46"/>
      <c r="C311" s="46"/>
      <c r="D311" s="47"/>
      <c r="F311" s="30"/>
      <c r="G311" s="44"/>
      <c r="H311" s="47"/>
    </row>
    <row r="312" spans="1:8" x14ac:dyDescent="0.3">
      <c r="A312" s="45"/>
      <c r="B312" s="46"/>
      <c r="C312" s="46"/>
      <c r="D312" s="47"/>
      <c r="F312" s="30"/>
      <c r="G312" s="44"/>
      <c r="H312" s="47"/>
    </row>
    <row r="313" spans="1:8" x14ac:dyDescent="0.3">
      <c r="A313" s="45"/>
      <c r="B313" s="46"/>
      <c r="C313" s="46"/>
      <c r="D313" s="47"/>
      <c r="F313" s="30"/>
      <c r="G313" s="44"/>
      <c r="H313" s="47"/>
    </row>
    <row r="314" spans="1:8" x14ac:dyDescent="0.3">
      <c r="A314" s="45"/>
      <c r="B314" s="46"/>
      <c r="C314" s="46"/>
      <c r="D314" s="47"/>
      <c r="F314" s="30"/>
      <c r="G314" s="44"/>
      <c r="H314" s="47"/>
    </row>
    <row r="315" spans="1:8" x14ac:dyDescent="0.3">
      <c r="A315" s="45"/>
      <c r="B315" s="46"/>
      <c r="C315" s="46"/>
      <c r="D315" s="47"/>
      <c r="F315" s="30"/>
      <c r="G315" s="44"/>
      <c r="H315" s="47"/>
    </row>
    <row r="316" spans="1:8" x14ac:dyDescent="0.3">
      <c r="A316" s="45"/>
      <c r="B316" s="46"/>
      <c r="C316" s="46"/>
      <c r="D316" s="47"/>
      <c r="F316" s="30"/>
      <c r="G316" s="44"/>
      <c r="H316" s="47"/>
    </row>
    <row r="317" spans="1:8" x14ac:dyDescent="0.3">
      <c r="A317" s="45"/>
      <c r="B317" s="46"/>
      <c r="C317" s="46"/>
      <c r="D317" s="47"/>
      <c r="F317" s="30"/>
      <c r="G317" s="44"/>
      <c r="H317" s="47"/>
    </row>
    <row r="318" spans="1:8" x14ac:dyDescent="0.3">
      <c r="A318" s="45"/>
      <c r="B318" s="46"/>
      <c r="C318" s="46"/>
      <c r="D318" s="47"/>
      <c r="F318" s="30"/>
      <c r="G318" s="44"/>
      <c r="H318" s="47"/>
    </row>
    <row r="319" spans="1:8" x14ac:dyDescent="0.3">
      <c r="A319" s="45"/>
      <c r="B319" s="46"/>
      <c r="C319" s="46"/>
      <c r="D319" s="47"/>
      <c r="F319" s="30"/>
      <c r="G319" s="44"/>
      <c r="H319" s="47"/>
    </row>
    <row r="320" spans="1:8" x14ac:dyDescent="0.3">
      <c r="A320" s="45"/>
      <c r="B320" s="46"/>
      <c r="C320" s="46"/>
      <c r="D320" s="47"/>
      <c r="F320" s="30"/>
      <c r="G320" s="44"/>
      <c r="H320" s="47"/>
    </row>
    <row r="321" spans="1:8" x14ac:dyDescent="0.3">
      <c r="A321" s="45"/>
      <c r="B321" s="46"/>
      <c r="C321" s="46"/>
      <c r="D321" s="47"/>
      <c r="F321" s="30"/>
      <c r="G321" s="44"/>
      <c r="H321" s="47"/>
    </row>
    <row r="322" spans="1:8" x14ac:dyDescent="0.3">
      <c r="A322" s="45"/>
      <c r="B322" s="46"/>
      <c r="C322" s="46"/>
      <c r="D322" s="47"/>
      <c r="F322" s="30"/>
      <c r="G322" s="44"/>
      <c r="H322" s="47"/>
    </row>
    <row r="323" spans="1:8" x14ac:dyDescent="0.3">
      <c r="A323" s="45"/>
      <c r="B323" s="46"/>
      <c r="C323" s="46"/>
      <c r="D323" s="47"/>
      <c r="F323" s="30"/>
      <c r="G323" s="44"/>
      <c r="H323" s="47"/>
    </row>
    <row r="324" spans="1:8" x14ac:dyDescent="0.3">
      <c r="A324" s="45"/>
      <c r="B324" s="46"/>
      <c r="C324" s="46"/>
      <c r="D324" s="47"/>
      <c r="F324" s="30"/>
      <c r="G324" s="44"/>
      <c r="H324" s="47"/>
    </row>
    <row r="325" spans="1:8" x14ac:dyDescent="0.3">
      <c r="A325" s="45"/>
      <c r="B325" s="46"/>
      <c r="C325" s="46"/>
      <c r="D325" s="47"/>
      <c r="F325" s="30"/>
      <c r="G325" s="44"/>
      <c r="H325" s="47"/>
    </row>
    <row r="326" spans="1:8" x14ac:dyDescent="0.3">
      <c r="A326" s="45"/>
      <c r="B326" s="46"/>
      <c r="C326" s="46"/>
      <c r="D326" s="47"/>
      <c r="F326" s="30"/>
      <c r="G326" s="44"/>
      <c r="H326" s="47"/>
    </row>
    <row r="327" spans="1:8" x14ac:dyDescent="0.3">
      <c r="A327" s="45"/>
      <c r="B327" s="46"/>
      <c r="C327" s="46"/>
      <c r="D327" s="47"/>
      <c r="F327" s="30"/>
      <c r="G327" s="44"/>
      <c r="H327" s="47"/>
    </row>
    <row r="328" spans="1:8" x14ac:dyDescent="0.3">
      <c r="A328" s="45"/>
      <c r="B328" s="46"/>
      <c r="C328" s="46"/>
      <c r="D328" s="47"/>
      <c r="F328" s="30"/>
      <c r="G328" s="44"/>
      <c r="H328" s="47"/>
    </row>
    <row r="329" spans="1:8" x14ac:dyDescent="0.3">
      <c r="A329" s="45"/>
      <c r="B329" s="46"/>
      <c r="C329" s="46"/>
      <c r="D329" s="47"/>
      <c r="F329" s="30"/>
      <c r="G329" s="44"/>
      <c r="H329" s="47"/>
    </row>
    <row r="330" spans="1:8" x14ac:dyDescent="0.3">
      <c r="A330" s="45"/>
      <c r="B330" s="46"/>
      <c r="C330" s="46"/>
      <c r="D330" s="47"/>
      <c r="F330" s="30"/>
      <c r="G330" s="44"/>
      <c r="H330" s="47"/>
    </row>
    <row r="331" spans="1:8" x14ac:dyDescent="0.3">
      <c r="A331" s="45"/>
      <c r="B331" s="46"/>
      <c r="C331" s="46"/>
      <c r="D331" s="47"/>
      <c r="F331" s="30"/>
      <c r="G331" s="44"/>
      <c r="H331" s="47"/>
    </row>
    <row r="332" spans="1:8" x14ac:dyDescent="0.3">
      <c r="A332" s="45"/>
      <c r="B332" s="46"/>
      <c r="C332" s="46"/>
      <c r="D332" s="47"/>
      <c r="F332" s="30"/>
      <c r="G332" s="44"/>
      <c r="H332" s="47"/>
    </row>
    <row r="333" spans="1:8" x14ac:dyDescent="0.3">
      <c r="A333" s="45"/>
      <c r="B333" s="46"/>
      <c r="C333" s="46"/>
      <c r="D333" s="47"/>
      <c r="F333" s="30"/>
      <c r="G333" s="44"/>
      <c r="H333" s="47"/>
    </row>
    <row r="334" spans="1:8" x14ac:dyDescent="0.3">
      <c r="A334" s="45"/>
      <c r="B334" s="46"/>
      <c r="C334" s="46"/>
      <c r="D334" s="47"/>
      <c r="F334" s="30"/>
      <c r="G334" s="44"/>
      <c r="H334" s="47"/>
    </row>
    <row r="335" spans="1:8" x14ac:dyDescent="0.3">
      <c r="A335" s="45"/>
      <c r="B335" s="46"/>
      <c r="C335" s="46"/>
      <c r="D335" s="47"/>
      <c r="F335" s="30"/>
      <c r="G335" s="44"/>
      <c r="H335" s="47"/>
    </row>
    <row r="336" spans="1:8" x14ac:dyDescent="0.3">
      <c r="A336" s="45"/>
      <c r="B336" s="46"/>
      <c r="C336" s="46"/>
      <c r="D336" s="47"/>
      <c r="F336" s="30"/>
      <c r="G336" s="44"/>
      <c r="H336" s="47"/>
    </row>
    <row r="337" spans="1:8" x14ac:dyDescent="0.3">
      <c r="A337" s="45"/>
      <c r="B337" s="46"/>
      <c r="C337" s="46"/>
      <c r="D337" s="47"/>
      <c r="F337" s="30"/>
      <c r="G337" s="44"/>
      <c r="H337" s="47"/>
    </row>
    <row r="338" spans="1:8" x14ac:dyDescent="0.3">
      <c r="A338" s="45"/>
      <c r="B338" s="46"/>
      <c r="C338" s="46"/>
      <c r="D338" s="47"/>
      <c r="F338" s="30"/>
      <c r="G338" s="44"/>
      <c r="H338" s="47"/>
    </row>
    <row r="339" spans="1:8" x14ac:dyDescent="0.3">
      <c r="A339" s="45"/>
      <c r="B339" s="46"/>
      <c r="C339" s="46"/>
      <c r="D339" s="47"/>
      <c r="F339" s="30"/>
      <c r="G339" s="44"/>
      <c r="H339" s="47"/>
    </row>
    <row r="340" spans="1:8" x14ac:dyDescent="0.3">
      <c r="A340" s="45"/>
      <c r="B340" s="46"/>
      <c r="C340" s="46"/>
      <c r="D340" s="47"/>
      <c r="F340" s="30"/>
      <c r="G340" s="44"/>
      <c r="H340" s="47"/>
    </row>
    <row r="341" spans="1:8" x14ac:dyDescent="0.3">
      <c r="A341" s="45"/>
      <c r="B341" s="46"/>
      <c r="C341" s="46"/>
      <c r="D341" s="47"/>
      <c r="F341" s="30"/>
      <c r="G341" s="44"/>
      <c r="H341" s="47"/>
    </row>
    <row r="342" spans="1:8" x14ac:dyDescent="0.3">
      <c r="A342" s="45"/>
      <c r="B342" s="46"/>
      <c r="C342" s="46"/>
      <c r="D342" s="47"/>
      <c r="F342" s="30"/>
      <c r="G342" s="44"/>
      <c r="H342" s="47"/>
    </row>
    <row r="343" spans="1:8" x14ac:dyDescent="0.3">
      <c r="A343" s="45"/>
      <c r="B343" s="46"/>
      <c r="C343" s="46"/>
      <c r="D343" s="47"/>
      <c r="F343" s="30"/>
      <c r="G343" s="44"/>
      <c r="H343" s="47"/>
    </row>
    <row r="344" spans="1:8" x14ac:dyDescent="0.3">
      <c r="A344" s="45"/>
      <c r="B344" s="46"/>
      <c r="C344" s="46"/>
      <c r="D344" s="47"/>
      <c r="F344" s="30"/>
      <c r="G344" s="44"/>
      <c r="H344" s="47"/>
    </row>
    <row r="345" spans="1:8" x14ac:dyDescent="0.3">
      <c r="A345" s="45"/>
      <c r="B345" s="46"/>
      <c r="C345" s="46"/>
      <c r="D345" s="47"/>
      <c r="F345" s="30"/>
      <c r="G345" s="44"/>
      <c r="H345" s="47"/>
    </row>
    <row r="346" spans="1:8" x14ac:dyDescent="0.3">
      <c r="A346" s="45"/>
      <c r="B346" s="46"/>
      <c r="C346" s="46"/>
      <c r="D346" s="47"/>
      <c r="F346" s="30"/>
      <c r="G346" s="44"/>
      <c r="H346" s="47"/>
    </row>
    <row r="347" spans="1:8" x14ac:dyDescent="0.3">
      <c r="A347" s="45"/>
      <c r="B347" s="46"/>
      <c r="C347" s="46"/>
      <c r="D347" s="47"/>
      <c r="F347" s="30"/>
      <c r="G347" s="44"/>
      <c r="H347" s="47"/>
    </row>
    <row r="348" spans="1:8" x14ac:dyDescent="0.3">
      <c r="A348" s="31"/>
      <c r="B348" s="39"/>
      <c r="C348" s="32"/>
      <c r="D348" s="32"/>
      <c r="F348" s="30"/>
      <c r="G348" s="32"/>
      <c r="H348" s="32"/>
    </row>
    <row r="349" spans="1:8" x14ac:dyDescent="0.3">
      <c r="A349" s="31"/>
      <c r="B349" s="39"/>
      <c r="C349" s="32"/>
      <c r="D349" s="32"/>
      <c r="G349" s="32"/>
      <c r="H349" s="32"/>
    </row>
    <row r="350" spans="1:8" x14ac:dyDescent="0.3">
      <c r="A350" s="31"/>
      <c r="B350" s="39"/>
      <c r="C350" s="32"/>
      <c r="D350" s="32"/>
      <c r="G350" s="32"/>
      <c r="H350" s="32"/>
    </row>
    <row r="351" spans="1:8" x14ac:dyDescent="0.3">
      <c r="A351" s="31"/>
      <c r="B351" s="39"/>
      <c r="C351" s="32"/>
      <c r="D351" s="32"/>
      <c r="G351" s="32"/>
      <c r="H351" s="32"/>
    </row>
    <row r="352" spans="1:8" x14ac:dyDescent="0.3">
      <c r="A352" s="31"/>
      <c r="B352" s="39"/>
      <c r="C352" s="32"/>
      <c r="D352" s="32"/>
      <c r="G352" s="32"/>
      <c r="H352" s="32"/>
    </row>
    <row r="353" spans="1:8" x14ac:dyDescent="0.3">
      <c r="A353" s="31"/>
      <c r="B353" s="39"/>
      <c r="C353" s="32"/>
      <c r="D353" s="32"/>
      <c r="G353" s="32"/>
      <c r="H353" s="32"/>
    </row>
    <row r="354" spans="1:8" x14ac:dyDescent="0.3">
      <c r="A354" s="31"/>
      <c r="B354" s="39"/>
      <c r="C354" s="32"/>
      <c r="D354" s="32"/>
      <c r="G354" s="32"/>
      <c r="H354" s="32"/>
    </row>
    <row r="355" spans="1:8" x14ac:dyDescent="0.3">
      <c r="A355" s="31"/>
      <c r="B355" s="39"/>
      <c r="C355" s="32"/>
      <c r="D355" s="32"/>
      <c r="G355" s="32"/>
      <c r="H355" s="32"/>
    </row>
    <row r="356" spans="1:8" x14ac:dyDescent="0.3">
      <c r="A356" s="31"/>
      <c r="B356" s="39"/>
      <c r="C356" s="32"/>
      <c r="D356" s="32"/>
      <c r="G356" s="32"/>
      <c r="H356" s="32"/>
    </row>
    <row r="357" spans="1:8" x14ac:dyDescent="0.3">
      <c r="A357" s="31"/>
      <c r="B357" s="39"/>
      <c r="C357" s="32"/>
      <c r="D357" s="32"/>
      <c r="G357" s="32"/>
      <c r="H357" s="32"/>
    </row>
    <row r="358" spans="1:8" x14ac:dyDescent="0.3">
      <c r="A358" s="31"/>
      <c r="B358" s="39"/>
      <c r="C358" s="32"/>
      <c r="D358" s="32"/>
      <c r="G358" s="32"/>
      <c r="H358" s="32"/>
    </row>
    <row r="359" spans="1:8" x14ac:dyDescent="0.3">
      <c r="A359" s="31"/>
      <c r="B359" s="39"/>
      <c r="C359" s="32"/>
      <c r="D359" s="32"/>
      <c r="G359" s="32"/>
      <c r="H359" s="32"/>
    </row>
    <row r="360" spans="1:8" x14ac:dyDescent="0.3">
      <c r="A360" s="31"/>
      <c r="B360" s="39"/>
      <c r="C360" s="32"/>
      <c r="D360" s="32"/>
      <c r="G360" s="32"/>
      <c r="H360" s="32"/>
    </row>
    <row r="361" spans="1:8" x14ac:dyDescent="0.3">
      <c r="A361" s="31"/>
      <c r="B361" s="39"/>
      <c r="C361" s="32"/>
      <c r="D361" s="32"/>
      <c r="G361" s="32"/>
      <c r="H361" s="32"/>
    </row>
    <row r="362" spans="1:8" x14ac:dyDescent="0.3">
      <c r="A362" s="31"/>
      <c r="B362" s="39"/>
      <c r="C362" s="32"/>
      <c r="D362" s="32"/>
      <c r="G362" s="32"/>
      <c r="H362" s="32"/>
    </row>
    <row r="363" spans="1:8" x14ac:dyDescent="0.3">
      <c r="A363" s="31"/>
      <c r="B363" s="39"/>
      <c r="C363" s="32"/>
      <c r="D363" s="32"/>
      <c r="G363" s="32"/>
      <c r="H363" s="32"/>
    </row>
    <row r="364" spans="1:8" x14ac:dyDescent="0.3">
      <c r="A364" s="31"/>
      <c r="B364" s="39"/>
      <c r="C364" s="32"/>
      <c r="D364" s="32"/>
      <c r="G364" s="32"/>
      <c r="H364" s="32"/>
    </row>
    <row r="365" spans="1:8" x14ac:dyDescent="0.3">
      <c r="A365" s="31"/>
      <c r="B365" s="39"/>
      <c r="C365" s="32"/>
      <c r="D365" s="32"/>
      <c r="G365" s="32"/>
      <c r="H365" s="32"/>
    </row>
    <row r="366" spans="1:8" x14ac:dyDescent="0.3">
      <c r="A366" s="31"/>
      <c r="B366" s="39"/>
      <c r="C366" s="32"/>
      <c r="D366" s="32"/>
      <c r="G366" s="32"/>
      <c r="H366" s="32"/>
    </row>
    <row r="367" spans="1:8" x14ac:dyDescent="0.3">
      <c r="A367" s="31"/>
      <c r="B367" s="39"/>
      <c r="C367" s="32"/>
      <c r="D367" s="32"/>
      <c r="G367" s="32"/>
      <c r="H367" s="32"/>
    </row>
    <row r="368" spans="1:8" x14ac:dyDescent="0.3">
      <c r="A368" s="31"/>
      <c r="B368" s="39"/>
      <c r="C368" s="32"/>
      <c r="D368" s="32"/>
      <c r="G368" s="32"/>
      <c r="H368" s="32"/>
    </row>
    <row r="369" spans="1:8" x14ac:dyDescent="0.3">
      <c r="A369" s="31"/>
      <c r="B369" s="39"/>
      <c r="C369" s="32"/>
      <c r="D369" s="32"/>
      <c r="G369" s="32"/>
      <c r="H369" s="32"/>
    </row>
    <row r="370" spans="1:8" x14ac:dyDescent="0.3">
      <c r="A370" s="31"/>
      <c r="B370" s="39"/>
      <c r="C370" s="32"/>
      <c r="D370" s="32"/>
      <c r="G370" s="32"/>
      <c r="H370" s="32"/>
    </row>
    <row r="371" spans="1:8" x14ac:dyDescent="0.3">
      <c r="A371" s="31"/>
      <c r="B371" s="39"/>
      <c r="C371" s="32"/>
      <c r="D371" s="32"/>
      <c r="G371" s="32"/>
      <c r="H371" s="32"/>
    </row>
    <row r="372" spans="1:8" x14ac:dyDescent="0.3">
      <c r="A372" s="31"/>
      <c r="B372" s="39"/>
      <c r="C372" s="32"/>
      <c r="D372" s="32"/>
      <c r="G372" s="32"/>
      <c r="H372" s="32"/>
    </row>
    <row r="373" spans="1:8" x14ac:dyDescent="0.3">
      <c r="A373" s="31"/>
      <c r="B373" s="39"/>
      <c r="C373" s="32"/>
      <c r="D373" s="32"/>
      <c r="G373" s="32"/>
      <c r="H373" s="32"/>
    </row>
    <row r="374" spans="1:8" x14ac:dyDescent="0.3">
      <c r="A374" s="31"/>
      <c r="B374" s="39"/>
      <c r="C374" s="32"/>
      <c r="D374" s="32"/>
      <c r="G374" s="32"/>
      <c r="H374" s="32"/>
    </row>
    <row r="375" spans="1:8" x14ac:dyDescent="0.3">
      <c r="A375" s="31"/>
      <c r="B375" s="39"/>
      <c r="C375" s="32"/>
      <c r="D375" s="32"/>
      <c r="G375" s="32"/>
      <c r="H375" s="32"/>
    </row>
    <row r="376" spans="1:8" x14ac:dyDescent="0.3">
      <c r="A376" s="31"/>
      <c r="B376" s="39"/>
      <c r="C376" s="32"/>
      <c r="D376" s="32"/>
      <c r="G376" s="32"/>
      <c r="H376" s="32"/>
    </row>
    <row r="377" spans="1:8" x14ac:dyDescent="0.3">
      <c r="A377" s="31"/>
      <c r="B377" s="39"/>
      <c r="C377" s="32"/>
      <c r="D377" s="32"/>
      <c r="G377" s="32"/>
      <c r="H377" s="32"/>
    </row>
    <row r="378" spans="1:8" x14ac:dyDescent="0.3">
      <c r="A378" s="31"/>
      <c r="B378" s="39"/>
      <c r="C378" s="32"/>
      <c r="D378" s="32"/>
      <c r="G378" s="32"/>
      <c r="H378" s="32"/>
    </row>
    <row r="379" spans="1:8" x14ac:dyDescent="0.3">
      <c r="A379" s="31"/>
      <c r="B379" s="39"/>
      <c r="C379" s="32"/>
      <c r="D379" s="32"/>
      <c r="G379" s="32"/>
      <c r="H379" s="32"/>
    </row>
    <row r="380" spans="1:8" x14ac:dyDescent="0.3">
      <c r="A380" s="31"/>
      <c r="B380" s="39"/>
      <c r="C380" s="32"/>
      <c r="D380" s="32"/>
      <c r="G380" s="32"/>
      <c r="H380" s="32"/>
    </row>
    <row r="381" spans="1:8" x14ac:dyDescent="0.3">
      <c r="A381" s="31"/>
      <c r="B381" s="39"/>
      <c r="C381" s="32"/>
      <c r="D381" s="32"/>
      <c r="G381" s="32"/>
      <c r="H381" s="32"/>
    </row>
    <row r="382" spans="1:8" x14ac:dyDescent="0.3">
      <c r="A382" s="31"/>
      <c r="B382" s="39"/>
      <c r="C382" s="32"/>
      <c r="D382" s="32"/>
      <c r="G382" s="32"/>
      <c r="H382" s="32"/>
    </row>
    <row r="383" spans="1:8" x14ac:dyDescent="0.3">
      <c r="A383" s="31"/>
      <c r="B383" s="39"/>
      <c r="C383" s="32"/>
      <c r="D383" s="32"/>
      <c r="G383" s="32"/>
      <c r="H383" s="32"/>
    </row>
    <row r="384" spans="1:8" x14ac:dyDescent="0.3">
      <c r="A384" s="31"/>
      <c r="B384" s="39"/>
      <c r="C384" s="32"/>
      <c r="D384" s="32"/>
      <c r="G384" s="32"/>
      <c r="H384" s="32"/>
    </row>
    <row r="385" spans="1:8" x14ac:dyDescent="0.3">
      <c r="A385" s="31"/>
      <c r="B385" s="39"/>
      <c r="C385" s="32"/>
      <c r="D385" s="32"/>
      <c r="G385" s="32"/>
      <c r="H385" s="32"/>
    </row>
    <row r="386" spans="1:8" x14ac:dyDescent="0.3">
      <c r="A386" s="31"/>
      <c r="B386" s="39"/>
      <c r="C386" s="32"/>
      <c r="D386" s="32"/>
      <c r="G386" s="32"/>
      <c r="H386" s="32"/>
    </row>
    <row r="387" spans="1:8" x14ac:dyDescent="0.3">
      <c r="A387" s="31"/>
      <c r="B387" s="39"/>
      <c r="C387" s="32"/>
      <c r="D387" s="32"/>
      <c r="G387" s="32"/>
      <c r="H387" s="32"/>
    </row>
    <row r="388" spans="1:8" x14ac:dyDescent="0.3">
      <c r="A388" s="31"/>
      <c r="B388" s="39"/>
      <c r="C388" s="32"/>
      <c r="D388" s="32"/>
      <c r="G388" s="32"/>
      <c r="H388" s="32"/>
    </row>
    <row r="389" spans="1:8" x14ac:dyDescent="0.3">
      <c r="A389" s="31"/>
      <c r="B389" s="39"/>
      <c r="C389" s="32"/>
      <c r="D389" s="32"/>
      <c r="G389" s="32"/>
      <c r="H389" s="32"/>
    </row>
    <row r="390" spans="1:8" x14ac:dyDescent="0.3">
      <c r="A390" s="31"/>
      <c r="B390" s="39"/>
      <c r="C390" s="32"/>
      <c r="D390" s="32"/>
      <c r="G390" s="32"/>
      <c r="H390" s="32"/>
    </row>
    <row r="391" spans="1:8" x14ac:dyDescent="0.3">
      <c r="A391" s="31"/>
      <c r="B391" s="39"/>
      <c r="C391" s="32"/>
      <c r="D391" s="32"/>
      <c r="G391" s="32"/>
      <c r="H391" s="32"/>
    </row>
    <row r="392" spans="1:8" x14ac:dyDescent="0.3">
      <c r="A392" s="31"/>
      <c r="B392" s="39"/>
      <c r="C392" s="32"/>
      <c r="D392" s="32"/>
      <c r="G392" s="32"/>
      <c r="H392" s="32"/>
    </row>
    <row r="393" spans="1:8" x14ac:dyDescent="0.3">
      <c r="A393" s="31"/>
      <c r="B393" s="39"/>
      <c r="C393" s="32"/>
      <c r="D393" s="32"/>
      <c r="G393" s="32"/>
      <c r="H393" s="32"/>
    </row>
    <row r="394" spans="1:8" x14ac:dyDescent="0.3">
      <c r="A394" s="31"/>
      <c r="B394" s="39"/>
      <c r="C394" s="32"/>
      <c r="D394" s="32"/>
      <c r="G394" s="32"/>
      <c r="H394" s="32"/>
    </row>
    <row r="395" spans="1:8" x14ac:dyDescent="0.3">
      <c r="A395" s="31"/>
      <c r="B395" s="39"/>
      <c r="C395" s="32"/>
      <c r="D395" s="32"/>
      <c r="G395" s="32"/>
      <c r="H395" s="32"/>
    </row>
    <row r="396" spans="1:8" x14ac:dyDescent="0.3">
      <c r="A396" s="31"/>
      <c r="B396" s="39"/>
      <c r="C396" s="32"/>
      <c r="D396" s="32"/>
      <c r="G396" s="32"/>
      <c r="H396" s="32"/>
    </row>
    <row r="397" spans="1:8" x14ac:dyDescent="0.3">
      <c r="A397" s="31"/>
      <c r="B397" s="39"/>
      <c r="C397" s="32"/>
      <c r="D397" s="32"/>
      <c r="G397" s="32"/>
      <c r="H397" s="32"/>
    </row>
    <row r="398" spans="1:8" x14ac:dyDescent="0.3">
      <c r="A398" s="31"/>
      <c r="B398" s="39"/>
      <c r="C398" s="32"/>
      <c r="D398" s="32"/>
      <c r="G398" s="32"/>
      <c r="H398" s="32"/>
    </row>
    <row r="399" spans="1:8" x14ac:dyDescent="0.3">
      <c r="A399" s="31"/>
      <c r="B399" s="39"/>
      <c r="C399" s="32"/>
      <c r="D399" s="32"/>
      <c r="G399" s="32"/>
      <c r="H399" s="32"/>
    </row>
    <row r="400" spans="1:8" x14ac:dyDescent="0.3">
      <c r="A400" s="31"/>
      <c r="B400" s="39"/>
      <c r="C400" s="32"/>
      <c r="D400" s="32"/>
      <c r="G400" s="32"/>
      <c r="H400" s="32"/>
    </row>
    <row r="401" spans="1:8" x14ac:dyDescent="0.3">
      <c r="A401" s="31"/>
      <c r="B401" s="39"/>
      <c r="C401" s="32"/>
      <c r="D401" s="32"/>
      <c r="G401" s="32"/>
      <c r="H401" s="32"/>
    </row>
    <row r="402" spans="1:8" x14ac:dyDescent="0.3">
      <c r="A402" s="31"/>
      <c r="B402" s="39"/>
      <c r="C402" s="32"/>
      <c r="D402" s="32"/>
      <c r="G402" s="32"/>
      <c r="H402" s="32"/>
    </row>
    <row r="403" spans="1:8" x14ac:dyDescent="0.3">
      <c r="A403" s="31"/>
      <c r="B403" s="39"/>
      <c r="C403" s="32"/>
      <c r="D403" s="32"/>
      <c r="G403" s="32"/>
      <c r="H403" s="32"/>
    </row>
    <row r="404" spans="1:8" x14ac:dyDescent="0.3">
      <c r="A404" s="31"/>
      <c r="B404" s="39"/>
      <c r="C404" s="32"/>
      <c r="D404" s="32"/>
      <c r="G404" s="32"/>
      <c r="H404" s="32"/>
    </row>
    <row r="405" spans="1:8" x14ac:dyDescent="0.3">
      <c r="A405" s="31"/>
      <c r="B405" s="39"/>
      <c r="C405" s="32"/>
      <c r="D405" s="32"/>
      <c r="G405" s="32"/>
      <c r="H405" s="32"/>
    </row>
    <row r="406" spans="1:8" x14ac:dyDescent="0.3">
      <c r="A406" s="31"/>
      <c r="B406" s="39"/>
      <c r="C406" s="32"/>
      <c r="D406" s="32"/>
      <c r="G406" s="32"/>
      <c r="H406" s="32"/>
    </row>
    <row r="407" spans="1:8" x14ac:dyDescent="0.3">
      <c r="A407" s="31"/>
      <c r="B407" s="39"/>
      <c r="C407" s="32"/>
      <c r="D407" s="32"/>
      <c r="G407" s="32"/>
      <c r="H407" s="32"/>
    </row>
    <row r="408" spans="1:8" x14ac:dyDescent="0.3">
      <c r="A408" s="31"/>
      <c r="B408" s="39"/>
      <c r="C408" s="32"/>
      <c r="D408" s="32"/>
      <c r="G408" s="32"/>
      <c r="H408" s="32"/>
    </row>
    <row r="409" spans="1:8" x14ac:dyDescent="0.3">
      <c r="A409" s="31"/>
      <c r="B409" s="39"/>
      <c r="C409" s="32"/>
      <c r="D409" s="32"/>
      <c r="G409" s="32"/>
      <c r="H409" s="32"/>
    </row>
    <row r="410" spans="1:8" x14ac:dyDescent="0.3">
      <c r="A410" s="31"/>
      <c r="B410" s="39"/>
      <c r="C410" s="32"/>
      <c r="D410" s="32"/>
      <c r="G410" s="32"/>
      <c r="H410" s="32"/>
    </row>
    <row r="411" spans="1:8" x14ac:dyDescent="0.3">
      <c r="A411" s="31"/>
      <c r="B411" s="39"/>
      <c r="C411" s="32"/>
      <c r="D411" s="32"/>
      <c r="G411" s="32"/>
      <c r="H411" s="32"/>
    </row>
    <row r="412" spans="1:8" x14ac:dyDescent="0.3">
      <c r="A412" s="31"/>
      <c r="B412" s="39"/>
      <c r="C412" s="32"/>
      <c r="D412" s="32"/>
      <c r="G412" s="32"/>
      <c r="H412" s="32"/>
    </row>
    <row r="413" spans="1:8" x14ac:dyDescent="0.3">
      <c r="A413" s="31"/>
      <c r="B413" s="39"/>
      <c r="C413" s="32"/>
      <c r="D413" s="32"/>
      <c r="G413" s="32"/>
      <c r="H413" s="32"/>
    </row>
    <row r="414" spans="1:8" x14ac:dyDescent="0.3">
      <c r="A414" s="31"/>
      <c r="B414" s="39"/>
      <c r="C414" s="32"/>
      <c r="D414" s="32"/>
      <c r="G414" s="32"/>
      <c r="H414" s="32"/>
    </row>
    <row r="415" spans="1:8" x14ac:dyDescent="0.3">
      <c r="A415" s="31"/>
      <c r="B415" s="39"/>
      <c r="C415" s="32"/>
      <c r="D415" s="32"/>
      <c r="G415" s="32"/>
      <c r="H415" s="32"/>
    </row>
    <row r="416" spans="1:8" x14ac:dyDescent="0.3">
      <c r="A416" s="31"/>
      <c r="B416" s="39"/>
      <c r="C416" s="32"/>
      <c r="D416" s="32"/>
      <c r="G416" s="32"/>
      <c r="H416" s="32"/>
    </row>
    <row r="417" spans="1:8" x14ac:dyDescent="0.3">
      <c r="A417" s="31"/>
      <c r="B417" s="39"/>
      <c r="C417" s="32"/>
      <c r="D417" s="32"/>
      <c r="G417" s="32"/>
      <c r="H417" s="32"/>
    </row>
    <row r="418" spans="1:8" x14ac:dyDescent="0.3">
      <c r="A418" s="31"/>
      <c r="B418" s="39"/>
      <c r="C418" s="32"/>
      <c r="D418" s="32"/>
      <c r="G418" s="32"/>
      <c r="H418" s="32"/>
    </row>
    <row r="419" spans="1:8" x14ac:dyDescent="0.3">
      <c r="A419" s="31"/>
      <c r="B419" s="39"/>
      <c r="C419" s="32"/>
      <c r="D419" s="32"/>
      <c r="G419" s="32"/>
      <c r="H419" s="32"/>
    </row>
    <row r="420" spans="1:8" x14ac:dyDescent="0.3">
      <c r="A420" s="31"/>
      <c r="B420" s="39"/>
      <c r="C420" s="32"/>
      <c r="D420" s="32"/>
      <c r="G420" s="32"/>
      <c r="H420" s="32"/>
    </row>
    <row r="421" spans="1:8" x14ac:dyDescent="0.3">
      <c r="A421" s="31"/>
      <c r="B421" s="39"/>
      <c r="C421" s="32"/>
      <c r="D421" s="32"/>
      <c r="G421" s="32"/>
      <c r="H421" s="32"/>
    </row>
    <row r="422" spans="1:8" x14ac:dyDescent="0.3">
      <c r="A422" s="31"/>
      <c r="B422" s="39"/>
      <c r="C422" s="32"/>
      <c r="D422" s="32"/>
      <c r="G422" s="32"/>
      <c r="H422" s="32"/>
    </row>
    <row r="423" spans="1:8" x14ac:dyDescent="0.3">
      <c r="A423" s="31"/>
      <c r="B423" s="39"/>
      <c r="C423" s="32"/>
      <c r="D423" s="32"/>
      <c r="G423" s="32"/>
      <c r="H423" s="32"/>
    </row>
    <row r="424" spans="1:8" x14ac:dyDescent="0.3">
      <c r="A424" s="31"/>
      <c r="B424" s="39"/>
      <c r="C424" s="32"/>
      <c r="D424" s="32"/>
      <c r="G424" s="32"/>
      <c r="H424" s="32"/>
    </row>
    <row r="425" spans="1:8" x14ac:dyDescent="0.3">
      <c r="A425" s="31"/>
      <c r="B425" s="39"/>
      <c r="C425" s="32"/>
      <c r="D425" s="32"/>
      <c r="G425" s="32"/>
      <c r="H425" s="32"/>
    </row>
    <row r="426" spans="1:8" x14ac:dyDescent="0.3">
      <c r="A426" s="31"/>
      <c r="B426" s="39"/>
      <c r="C426" s="32"/>
      <c r="D426" s="32"/>
      <c r="G426" s="32"/>
      <c r="H426" s="32"/>
    </row>
    <row r="427" spans="1:8" x14ac:dyDescent="0.3">
      <c r="A427" s="31"/>
      <c r="B427" s="39"/>
      <c r="C427" s="32"/>
      <c r="D427" s="32"/>
      <c r="G427" s="32"/>
      <c r="H427" s="32"/>
    </row>
    <row r="428" spans="1:8" x14ac:dyDescent="0.3">
      <c r="A428" s="31"/>
      <c r="B428" s="39"/>
      <c r="C428" s="32"/>
      <c r="D428" s="32"/>
      <c r="G428" s="32"/>
      <c r="H428" s="32"/>
    </row>
    <row r="429" spans="1:8" x14ac:dyDescent="0.3">
      <c r="A429" s="31"/>
      <c r="B429" s="39"/>
      <c r="C429" s="32"/>
      <c r="D429" s="32"/>
      <c r="G429" s="32"/>
      <c r="H429" s="32"/>
    </row>
    <row r="430" spans="1:8" x14ac:dyDescent="0.3">
      <c r="A430" s="31"/>
      <c r="B430" s="39"/>
      <c r="C430" s="32"/>
      <c r="D430" s="32"/>
      <c r="G430" s="32"/>
      <c r="H430" s="32"/>
    </row>
    <row r="431" spans="1:8" x14ac:dyDescent="0.3">
      <c r="A431" s="31"/>
      <c r="B431" s="39"/>
      <c r="C431" s="32"/>
      <c r="D431" s="32"/>
      <c r="G431" s="32"/>
      <c r="H431" s="32"/>
    </row>
    <row r="432" spans="1:8" x14ac:dyDescent="0.3">
      <c r="A432" s="31"/>
      <c r="B432" s="39"/>
      <c r="C432" s="32"/>
      <c r="D432" s="32"/>
      <c r="G432" s="32"/>
      <c r="H432" s="32"/>
    </row>
    <row r="433" spans="1:8" x14ac:dyDescent="0.3">
      <c r="A433" s="31"/>
      <c r="B433" s="39"/>
      <c r="C433" s="32"/>
      <c r="D433" s="32"/>
      <c r="G433" s="32"/>
      <c r="H433" s="32"/>
    </row>
    <row r="434" spans="1:8" x14ac:dyDescent="0.3">
      <c r="A434" s="31"/>
      <c r="B434" s="39"/>
      <c r="C434" s="32"/>
      <c r="D434" s="32"/>
      <c r="G434" s="32"/>
      <c r="H434" s="32"/>
    </row>
    <row r="435" spans="1:8" x14ac:dyDescent="0.3">
      <c r="A435" s="31"/>
      <c r="B435" s="39"/>
      <c r="C435" s="32"/>
      <c r="D435" s="32"/>
      <c r="G435" s="32"/>
      <c r="H435" s="32"/>
    </row>
    <row r="436" spans="1:8" x14ac:dyDescent="0.3">
      <c r="A436" s="31"/>
      <c r="B436" s="39"/>
      <c r="C436" s="32"/>
      <c r="D436" s="32"/>
      <c r="G436" s="32"/>
      <c r="H436" s="32"/>
    </row>
    <row r="437" spans="1:8" x14ac:dyDescent="0.3">
      <c r="A437" s="31"/>
      <c r="B437" s="39"/>
      <c r="C437" s="32"/>
      <c r="D437" s="32"/>
      <c r="G437" s="32"/>
      <c r="H437" s="32"/>
    </row>
    <row r="438" spans="1:8" x14ac:dyDescent="0.3">
      <c r="A438" s="31"/>
      <c r="B438" s="39"/>
      <c r="C438" s="32"/>
      <c r="D438" s="32"/>
      <c r="G438" s="32"/>
      <c r="H438" s="32"/>
    </row>
    <row r="439" spans="1:8" x14ac:dyDescent="0.3">
      <c r="A439" s="31"/>
      <c r="B439" s="39"/>
      <c r="C439" s="32"/>
      <c r="D439" s="32"/>
      <c r="G439" s="32"/>
      <c r="H439" s="32"/>
    </row>
    <row r="440" spans="1:8" x14ac:dyDescent="0.3">
      <c r="A440" s="31"/>
      <c r="B440" s="39"/>
      <c r="C440" s="32"/>
      <c r="D440" s="32"/>
      <c r="G440" s="32"/>
      <c r="H440" s="32"/>
    </row>
    <row r="441" spans="1:8" x14ac:dyDescent="0.3">
      <c r="A441" s="31"/>
      <c r="B441" s="39"/>
      <c r="C441" s="32"/>
      <c r="D441" s="32"/>
      <c r="G441" s="32"/>
      <c r="H441" s="32"/>
    </row>
    <row r="442" spans="1:8" x14ac:dyDescent="0.3">
      <c r="A442" s="31"/>
      <c r="B442" s="39"/>
      <c r="C442" s="32"/>
      <c r="D442" s="32"/>
      <c r="G442" s="32"/>
      <c r="H442" s="32"/>
    </row>
    <row r="443" spans="1:8" x14ac:dyDescent="0.3">
      <c r="A443" s="31"/>
      <c r="B443" s="39"/>
      <c r="C443" s="32"/>
      <c r="D443" s="32"/>
      <c r="G443" s="32"/>
      <c r="H443" s="32"/>
    </row>
    <row r="444" spans="1:8" x14ac:dyDescent="0.3">
      <c r="A444" s="31"/>
      <c r="B444" s="39"/>
      <c r="C444" s="32"/>
      <c r="D444" s="32"/>
      <c r="G444" s="32"/>
      <c r="H444" s="32"/>
    </row>
    <row r="445" spans="1:8" x14ac:dyDescent="0.3">
      <c r="A445" s="31"/>
      <c r="B445" s="39"/>
      <c r="C445" s="32"/>
      <c r="D445" s="32"/>
      <c r="G445" s="32"/>
      <c r="H445" s="32"/>
    </row>
    <row r="446" spans="1:8" x14ac:dyDescent="0.3">
      <c r="A446" s="31"/>
      <c r="B446" s="39"/>
      <c r="C446" s="32"/>
      <c r="D446" s="32"/>
      <c r="G446" s="32"/>
      <c r="H446" s="32"/>
    </row>
    <row r="447" spans="1:8" x14ac:dyDescent="0.3">
      <c r="A447" s="31"/>
      <c r="B447" s="39"/>
      <c r="C447" s="32"/>
      <c r="D447" s="32"/>
      <c r="G447" s="32"/>
      <c r="H447" s="32"/>
    </row>
    <row r="448" spans="1:8" x14ac:dyDescent="0.3">
      <c r="A448" s="31"/>
      <c r="B448" s="39"/>
      <c r="C448" s="32"/>
      <c r="D448" s="32"/>
      <c r="G448" s="32"/>
      <c r="H448" s="32"/>
    </row>
    <row r="449" spans="1:8" x14ac:dyDescent="0.3">
      <c r="A449" s="31"/>
      <c r="B449" s="39"/>
      <c r="C449" s="32"/>
      <c r="D449" s="32"/>
      <c r="G449" s="32"/>
      <c r="H449" s="32"/>
    </row>
    <row r="450" spans="1:8" x14ac:dyDescent="0.3">
      <c r="A450" s="31"/>
      <c r="B450" s="39"/>
      <c r="C450" s="32"/>
      <c r="D450" s="32"/>
      <c r="G450" s="32"/>
      <c r="H450" s="32"/>
    </row>
    <row r="451" spans="1:8" x14ac:dyDescent="0.3">
      <c r="A451" s="31"/>
      <c r="B451" s="39"/>
      <c r="C451" s="32"/>
      <c r="D451" s="32"/>
      <c r="G451" s="32"/>
      <c r="H451" s="32"/>
    </row>
    <row r="452" spans="1:8" x14ac:dyDescent="0.3">
      <c r="A452" s="31"/>
      <c r="B452" s="39"/>
      <c r="C452" s="32"/>
      <c r="D452" s="32"/>
      <c r="G452" s="32"/>
      <c r="H452" s="32"/>
    </row>
    <row r="453" spans="1:8" x14ac:dyDescent="0.3">
      <c r="A453" s="31"/>
      <c r="B453" s="39"/>
      <c r="C453" s="32"/>
      <c r="D453" s="32"/>
      <c r="G453" s="32"/>
      <c r="H453" s="32"/>
    </row>
    <row r="454" spans="1:8" x14ac:dyDescent="0.3">
      <c r="A454" s="31"/>
      <c r="B454" s="39"/>
      <c r="C454" s="32"/>
      <c r="D454" s="32"/>
      <c r="G454" s="32"/>
      <c r="H454" s="32"/>
    </row>
    <row r="455" spans="1:8" x14ac:dyDescent="0.3">
      <c r="A455" s="31"/>
      <c r="B455" s="39"/>
      <c r="C455" s="32"/>
      <c r="D455" s="32"/>
      <c r="G455" s="32"/>
      <c r="H455" s="32"/>
    </row>
    <row r="456" spans="1:8" x14ac:dyDescent="0.3">
      <c r="A456" s="31"/>
      <c r="B456" s="39"/>
      <c r="C456" s="32"/>
      <c r="D456" s="32"/>
      <c r="G456" s="32"/>
      <c r="H456" s="32"/>
    </row>
    <row r="457" spans="1:8" x14ac:dyDescent="0.3">
      <c r="A457" s="31"/>
      <c r="B457" s="39"/>
      <c r="C457" s="32"/>
      <c r="D457" s="32"/>
      <c r="G457" s="32"/>
      <c r="H457" s="32"/>
    </row>
    <row r="458" spans="1:8" x14ac:dyDescent="0.3">
      <c r="A458" s="31"/>
      <c r="B458" s="39"/>
      <c r="C458" s="32"/>
      <c r="D458" s="32"/>
      <c r="G458" s="32"/>
      <c r="H458" s="32"/>
    </row>
    <row r="459" spans="1:8" x14ac:dyDescent="0.3">
      <c r="A459" s="31"/>
      <c r="B459" s="39"/>
      <c r="C459" s="32"/>
      <c r="D459" s="32"/>
      <c r="G459" s="32"/>
      <c r="H459" s="32"/>
    </row>
    <row r="460" spans="1:8" x14ac:dyDescent="0.3">
      <c r="A460" s="31"/>
      <c r="B460" s="39"/>
      <c r="C460" s="32"/>
      <c r="D460" s="32"/>
      <c r="G460" s="32"/>
      <c r="H460" s="32"/>
    </row>
    <row r="461" spans="1:8" x14ac:dyDescent="0.3">
      <c r="A461" s="31"/>
      <c r="B461" s="39"/>
      <c r="C461" s="32"/>
      <c r="D461" s="32"/>
      <c r="G461" s="32"/>
      <c r="H461" s="32"/>
    </row>
    <row r="462" spans="1:8" x14ac:dyDescent="0.3">
      <c r="A462" s="31"/>
      <c r="B462" s="39"/>
      <c r="C462" s="32"/>
      <c r="D462" s="32"/>
      <c r="G462" s="32"/>
      <c r="H462" s="32"/>
    </row>
    <row r="463" spans="1:8" x14ac:dyDescent="0.3">
      <c r="A463" s="31"/>
      <c r="B463" s="39"/>
      <c r="C463" s="32"/>
      <c r="D463" s="32"/>
      <c r="G463" s="32"/>
      <c r="H463" s="32"/>
    </row>
    <row r="464" spans="1:8" x14ac:dyDescent="0.3">
      <c r="A464" s="31"/>
      <c r="B464" s="39"/>
      <c r="C464" s="32"/>
      <c r="D464" s="32"/>
      <c r="G464" s="32"/>
      <c r="H464" s="32"/>
    </row>
    <row r="465" spans="1:8" x14ac:dyDescent="0.3">
      <c r="A465" s="31"/>
      <c r="B465" s="39"/>
      <c r="C465" s="32"/>
      <c r="D465" s="32"/>
      <c r="G465" s="32"/>
      <c r="H465" s="32"/>
    </row>
    <row r="466" spans="1:8" x14ac:dyDescent="0.3">
      <c r="A466" s="31"/>
      <c r="B466" s="39"/>
      <c r="C466" s="32"/>
      <c r="D466" s="32"/>
      <c r="G466" s="32"/>
      <c r="H466" s="32"/>
    </row>
    <row r="467" spans="1:8" x14ac:dyDescent="0.3">
      <c r="A467" s="31"/>
      <c r="B467" s="39"/>
      <c r="C467" s="32"/>
      <c r="D467" s="32"/>
      <c r="G467" s="32"/>
      <c r="H467" s="32"/>
    </row>
    <row r="468" spans="1:8" x14ac:dyDescent="0.3">
      <c r="A468" s="31"/>
      <c r="B468" s="39"/>
      <c r="C468" s="32"/>
      <c r="D468" s="32"/>
      <c r="G468" s="32"/>
      <c r="H468" s="32"/>
    </row>
    <row r="469" spans="1:8" x14ac:dyDescent="0.3">
      <c r="A469" s="31"/>
      <c r="B469" s="39"/>
      <c r="C469" s="32"/>
      <c r="D469" s="32"/>
      <c r="G469" s="32"/>
      <c r="H469" s="32"/>
    </row>
    <row r="470" spans="1:8" x14ac:dyDescent="0.3">
      <c r="A470" s="31"/>
      <c r="B470" s="39"/>
      <c r="C470" s="32"/>
      <c r="D470" s="32"/>
      <c r="G470" s="32"/>
      <c r="H470" s="32"/>
    </row>
    <row r="471" spans="1:8" x14ac:dyDescent="0.3">
      <c r="A471" s="31"/>
      <c r="B471" s="39"/>
      <c r="C471" s="32"/>
      <c r="D471" s="32"/>
      <c r="G471" s="32"/>
      <c r="H471" s="32"/>
    </row>
    <row r="472" spans="1:8" x14ac:dyDescent="0.3">
      <c r="A472" s="31"/>
      <c r="B472" s="39"/>
      <c r="C472" s="32"/>
      <c r="D472" s="32"/>
      <c r="G472" s="32"/>
      <c r="H472" s="32"/>
    </row>
    <row r="473" spans="1:8" x14ac:dyDescent="0.3">
      <c r="A473" s="31"/>
      <c r="B473" s="39"/>
      <c r="C473" s="32"/>
      <c r="D473" s="32"/>
      <c r="G473" s="32"/>
      <c r="H473" s="32"/>
    </row>
    <row r="474" spans="1:8" x14ac:dyDescent="0.3">
      <c r="A474" s="31"/>
      <c r="B474" s="39"/>
      <c r="C474" s="32"/>
      <c r="D474" s="32"/>
      <c r="G474" s="32"/>
      <c r="H474" s="32"/>
    </row>
    <row r="475" spans="1:8" x14ac:dyDescent="0.3">
      <c r="A475" s="31"/>
      <c r="B475" s="39"/>
      <c r="C475" s="32"/>
      <c r="D475" s="32"/>
      <c r="G475" s="32"/>
      <c r="H475" s="32"/>
    </row>
    <row r="476" spans="1:8" x14ac:dyDescent="0.3">
      <c r="A476" s="31"/>
      <c r="B476" s="39"/>
      <c r="C476" s="32"/>
      <c r="D476" s="32"/>
      <c r="G476" s="32"/>
      <c r="H476" s="32"/>
    </row>
    <row r="477" spans="1:8" x14ac:dyDescent="0.3">
      <c r="A477" s="31"/>
      <c r="B477" s="39"/>
      <c r="C477" s="32"/>
      <c r="D477" s="32"/>
      <c r="G477" s="32"/>
      <c r="H477" s="32"/>
    </row>
    <row r="478" spans="1:8" x14ac:dyDescent="0.3">
      <c r="A478" s="31"/>
      <c r="B478" s="39"/>
      <c r="C478" s="32"/>
      <c r="D478" s="32"/>
      <c r="G478" s="32"/>
      <c r="H478" s="32"/>
    </row>
    <row r="479" spans="1:8" x14ac:dyDescent="0.3">
      <c r="A479" s="31"/>
      <c r="B479" s="39"/>
      <c r="C479" s="32"/>
      <c r="D479" s="32"/>
      <c r="G479" s="32"/>
      <c r="H479" s="32"/>
    </row>
    <row r="480" spans="1:8" x14ac:dyDescent="0.3">
      <c r="A480" s="31"/>
      <c r="B480" s="39"/>
      <c r="C480" s="32"/>
      <c r="D480" s="32"/>
      <c r="G480" s="32"/>
      <c r="H480" s="32"/>
    </row>
    <row r="481" spans="1:8" x14ac:dyDescent="0.3">
      <c r="A481" s="31"/>
      <c r="B481" s="39"/>
      <c r="C481" s="32"/>
      <c r="D481" s="32"/>
      <c r="G481" s="32"/>
      <c r="H481" s="32"/>
    </row>
    <row r="482" spans="1:8" x14ac:dyDescent="0.3">
      <c r="A482" s="31"/>
      <c r="B482" s="39"/>
      <c r="C482" s="32"/>
      <c r="D482" s="32"/>
      <c r="G482" s="32"/>
      <c r="H482" s="32"/>
    </row>
    <row r="483" spans="1:8" x14ac:dyDescent="0.3">
      <c r="A483" s="31"/>
      <c r="B483" s="39"/>
      <c r="C483" s="32"/>
      <c r="D483" s="32"/>
      <c r="G483" s="32"/>
      <c r="H483" s="32"/>
    </row>
    <row r="484" spans="1:8" x14ac:dyDescent="0.3">
      <c r="A484" s="31"/>
      <c r="B484" s="39"/>
      <c r="C484" s="32"/>
      <c r="D484" s="32"/>
      <c r="G484" s="32"/>
      <c r="H484" s="32"/>
    </row>
    <row r="485" spans="1:8" x14ac:dyDescent="0.3">
      <c r="A485" s="31"/>
      <c r="B485" s="39"/>
      <c r="C485" s="32"/>
      <c r="D485" s="32"/>
      <c r="G485" s="32"/>
      <c r="H485" s="32"/>
    </row>
    <row r="486" spans="1:8" x14ac:dyDescent="0.3">
      <c r="A486" s="31"/>
      <c r="B486" s="39"/>
      <c r="C486" s="32"/>
      <c r="D486" s="32"/>
      <c r="G486" s="32"/>
      <c r="H486" s="32"/>
    </row>
    <row r="487" spans="1:8" x14ac:dyDescent="0.3">
      <c r="A487" s="31"/>
      <c r="B487" s="39"/>
      <c r="C487" s="32"/>
      <c r="D487" s="32"/>
      <c r="G487" s="32"/>
      <c r="H487" s="32"/>
    </row>
    <row r="488" spans="1:8" x14ac:dyDescent="0.3">
      <c r="A488" s="31"/>
      <c r="B488" s="39"/>
      <c r="C488" s="32"/>
      <c r="D488" s="32"/>
      <c r="G488" s="32"/>
      <c r="H488" s="32"/>
    </row>
    <row r="489" spans="1:8" x14ac:dyDescent="0.3">
      <c r="A489" s="31"/>
      <c r="B489" s="39"/>
      <c r="C489" s="32"/>
      <c r="D489" s="32"/>
      <c r="G489" s="32"/>
      <c r="H489" s="32"/>
    </row>
    <row r="490" spans="1:8" x14ac:dyDescent="0.3">
      <c r="A490" s="31"/>
      <c r="B490" s="39"/>
      <c r="C490" s="32"/>
      <c r="D490" s="32"/>
      <c r="G490" s="32"/>
      <c r="H490" s="32"/>
    </row>
    <row r="491" spans="1:8" x14ac:dyDescent="0.3">
      <c r="A491" s="31"/>
      <c r="B491" s="39"/>
      <c r="C491" s="32"/>
      <c r="D491" s="32"/>
      <c r="G491" s="32"/>
      <c r="H491" s="32"/>
    </row>
    <row r="492" spans="1:8" x14ac:dyDescent="0.3">
      <c r="A492" s="31"/>
      <c r="B492" s="39"/>
      <c r="C492" s="32"/>
      <c r="D492" s="32"/>
      <c r="G492" s="32"/>
      <c r="H492" s="32"/>
    </row>
    <row r="493" spans="1:8" x14ac:dyDescent="0.3">
      <c r="A493" s="31"/>
      <c r="B493" s="39"/>
      <c r="C493" s="32"/>
      <c r="D493" s="32"/>
      <c r="G493" s="32"/>
      <c r="H493" s="32"/>
    </row>
    <row r="494" spans="1:8" x14ac:dyDescent="0.3">
      <c r="A494" s="31"/>
      <c r="B494" s="39"/>
      <c r="C494" s="32"/>
      <c r="D494" s="32"/>
      <c r="G494" s="32"/>
      <c r="H494" s="32"/>
    </row>
    <row r="495" spans="1:8" x14ac:dyDescent="0.3">
      <c r="A495" s="31"/>
      <c r="B495" s="39"/>
      <c r="C495" s="32"/>
      <c r="D495" s="32"/>
      <c r="G495" s="32"/>
      <c r="H495" s="32"/>
    </row>
    <row r="496" spans="1:8" x14ac:dyDescent="0.3">
      <c r="A496" s="31"/>
      <c r="B496" s="39"/>
      <c r="C496" s="32"/>
      <c r="D496" s="32"/>
      <c r="G496" s="32"/>
      <c r="H496" s="32"/>
    </row>
    <row r="497" spans="1:8" x14ac:dyDescent="0.3">
      <c r="A497" s="31"/>
      <c r="B497" s="39"/>
      <c r="C497" s="32"/>
      <c r="D497" s="32"/>
      <c r="G497" s="32"/>
      <c r="H497" s="32"/>
    </row>
    <row r="498" spans="1:8" x14ac:dyDescent="0.3">
      <c r="A498" s="31"/>
      <c r="B498" s="39"/>
      <c r="C498" s="32"/>
      <c r="D498" s="32"/>
      <c r="G498" s="32"/>
      <c r="H498" s="32"/>
    </row>
    <row r="499" spans="1:8" x14ac:dyDescent="0.3">
      <c r="A499" s="31"/>
      <c r="B499" s="39"/>
      <c r="C499" s="32"/>
      <c r="D499" s="32"/>
      <c r="G499" s="32"/>
      <c r="H499" s="32"/>
    </row>
    <row r="500" spans="1:8" x14ac:dyDescent="0.3">
      <c r="A500" s="31"/>
      <c r="B500" s="39"/>
      <c r="C500" s="32"/>
      <c r="D500" s="32"/>
      <c r="G500" s="32"/>
      <c r="H500" s="32"/>
    </row>
    <row r="501" spans="1:8" x14ac:dyDescent="0.3">
      <c r="A501" s="31"/>
      <c r="B501" s="39"/>
      <c r="C501" s="32"/>
      <c r="D501" s="32"/>
      <c r="G501" s="32"/>
      <c r="H501" s="32"/>
    </row>
    <row r="502" spans="1:8" x14ac:dyDescent="0.3">
      <c r="A502" s="31"/>
      <c r="B502" s="39"/>
      <c r="C502" s="32"/>
      <c r="D502" s="32"/>
      <c r="G502" s="32"/>
      <c r="H502" s="32"/>
    </row>
    <row r="503" spans="1:8" x14ac:dyDescent="0.3">
      <c r="A503" s="31"/>
      <c r="B503" s="39"/>
      <c r="C503" s="32"/>
      <c r="D503" s="32"/>
      <c r="G503" s="32"/>
      <c r="H503" s="32"/>
    </row>
    <row r="504" spans="1:8" x14ac:dyDescent="0.3">
      <c r="A504" s="31"/>
      <c r="B504" s="39"/>
      <c r="C504" s="32"/>
      <c r="D504" s="32"/>
      <c r="G504" s="32"/>
      <c r="H504" s="32"/>
    </row>
    <row r="505" spans="1:8" x14ac:dyDescent="0.3">
      <c r="A505" s="31"/>
      <c r="B505" s="39"/>
      <c r="C505" s="32"/>
      <c r="D505" s="32"/>
      <c r="G505" s="32"/>
      <c r="H505" s="32"/>
    </row>
    <row r="506" spans="1:8" x14ac:dyDescent="0.3">
      <c r="A506" s="31"/>
      <c r="B506" s="39"/>
      <c r="C506" s="32"/>
      <c r="D506" s="32"/>
      <c r="G506" s="32"/>
      <c r="H506" s="32"/>
    </row>
    <row r="507" spans="1:8" x14ac:dyDescent="0.3">
      <c r="A507" s="31"/>
      <c r="B507" s="39"/>
      <c r="C507" s="32"/>
      <c r="D507" s="32"/>
      <c r="G507" s="32"/>
      <c r="H507" s="32"/>
    </row>
    <row r="508" spans="1:8" x14ac:dyDescent="0.3">
      <c r="A508" s="31"/>
      <c r="B508" s="39"/>
      <c r="C508" s="32"/>
      <c r="D508" s="32"/>
      <c r="G508" s="32"/>
      <c r="H508" s="32"/>
    </row>
    <row r="509" spans="1:8" x14ac:dyDescent="0.3">
      <c r="A509" s="31"/>
      <c r="B509" s="39"/>
      <c r="C509" s="32"/>
      <c r="D509" s="32"/>
      <c r="G509" s="32"/>
      <c r="H509" s="32"/>
    </row>
    <row r="510" spans="1:8" x14ac:dyDescent="0.3">
      <c r="A510" s="31"/>
      <c r="B510" s="39"/>
      <c r="C510" s="32"/>
      <c r="D510" s="32"/>
      <c r="G510" s="32"/>
      <c r="H510" s="32"/>
    </row>
    <row r="511" spans="1:8" x14ac:dyDescent="0.3">
      <c r="A511" s="31"/>
      <c r="B511" s="39"/>
      <c r="C511" s="32"/>
      <c r="D511" s="32"/>
      <c r="G511" s="32"/>
      <c r="H511" s="32"/>
    </row>
    <row r="512" spans="1:8" x14ac:dyDescent="0.3">
      <c r="A512" s="31"/>
      <c r="B512" s="39"/>
      <c r="C512" s="32"/>
      <c r="D512" s="32"/>
      <c r="G512" s="32"/>
      <c r="H512" s="32"/>
    </row>
    <row r="513" spans="1:8" x14ac:dyDescent="0.3">
      <c r="A513" s="31"/>
      <c r="B513" s="39"/>
      <c r="C513" s="32"/>
      <c r="D513" s="32"/>
      <c r="G513" s="32"/>
      <c r="H513" s="32"/>
    </row>
    <row r="514" spans="1:8" x14ac:dyDescent="0.3">
      <c r="A514" s="31"/>
      <c r="B514" s="39"/>
      <c r="C514" s="32"/>
      <c r="D514" s="32"/>
      <c r="G514" s="32"/>
      <c r="H514" s="32"/>
    </row>
    <row r="515" spans="1:8" x14ac:dyDescent="0.3">
      <c r="A515" s="31"/>
      <c r="B515" s="39"/>
      <c r="C515" s="32"/>
      <c r="D515" s="32"/>
      <c r="G515" s="32"/>
      <c r="H515" s="32"/>
    </row>
    <row r="516" spans="1:8" x14ac:dyDescent="0.3">
      <c r="A516" s="31"/>
      <c r="B516" s="39"/>
      <c r="C516" s="32"/>
      <c r="D516" s="32"/>
      <c r="G516" s="32"/>
      <c r="H516" s="32"/>
    </row>
    <row r="517" spans="1:8" x14ac:dyDescent="0.3">
      <c r="A517" s="31"/>
      <c r="B517" s="39"/>
      <c r="C517" s="32"/>
      <c r="D517" s="32"/>
      <c r="G517" s="32"/>
      <c r="H517" s="32"/>
    </row>
    <row r="518" spans="1:8" x14ac:dyDescent="0.3">
      <c r="A518" s="31"/>
      <c r="B518" s="39"/>
      <c r="C518" s="32"/>
      <c r="D518" s="32"/>
      <c r="G518" s="32"/>
      <c r="H518" s="32"/>
    </row>
    <row r="519" spans="1:8" x14ac:dyDescent="0.3">
      <c r="A519" s="31"/>
      <c r="B519" s="39"/>
      <c r="C519" s="32"/>
      <c r="D519" s="32"/>
      <c r="G519" s="32"/>
      <c r="H519" s="32"/>
    </row>
    <row r="520" spans="1:8" x14ac:dyDescent="0.3">
      <c r="A520" s="31"/>
      <c r="B520" s="39"/>
      <c r="C520" s="32"/>
      <c r="D520" s="32"/>
      <c r="G520" s="32"/>
      <c r="H520" s="32"/>
    </row>
    <row r="521" spans="1:8" x14ac:dyDescent="0.3">
      <c r="A521" s="31"/>
      <c r="B521" s="39"/>
      <c r="C521" s="32"/>
      <c r="D521" s="32"/>
      <c r="G521" s="32"/>
      <c r="H521" s="32"/>
    </row>
    <row r="522" spans="1:8" x14ac:dyDescent="0.3">
      <c r="A522" s="31"/>
      <c r="B522" s="39"/>
      <c r="C522" s="32"/>
      <c r="D522" s="32"/>
      <c r="G522" s="32"/>
      <c r="H522" s="32"/>
    </row>
    <row r="523" spans="1:8" x14ac:dyDescent="0.3">
      <c r="A523" s="31"/>
      <c r="B523" s="39"/>
      <c r="C523" s="32"/>
      <c r="D523" s="32"/>
      <c r="G523" s="32"/>
      <c r="H523" s="32"/>
    </row>
    <row r="524" spans="1:8" x14ac:dyDescent="0.3">
      <c r="A524" s="31"/>
      <c r="B524" s="39"/>
      <c r="C524" s="32"/>
      <c r="D524" s="32"/>
      <c r="G524" s="32"/>
      <c r="H524" s="32"/>
    </row>
    <row r="525" spans="1:8" x14ac:dyDescent="0.3">
      <c r="A525" s="31"/>
      <c r="B525" s="39"/>
      <c r="C525" s="32"/>
      <c r="D525" s="32"/>
      <c r="G525" s="32"/>
      <c r="H525" s="32"/>
    </row>
    <row r="526" spans="1:8" x14ac:dyDescent="0.3">
      <c r="A526" s="31"/>
      <c r="B526" s="39"/>
      <c r="C526" s="32"/>
      <c r="D526" s="32"/>
      <c r="G526" s="32"/>
      <c r="H526" s="32"/>
    </row>
    <row r="527" spans="1:8" x14ac:dyDescent="0.3">
      <c r="A527" s="31"/>
      <c r="B527" s="39"/>
      <c r="C527" s="32"/>
      <c r="D527" s="32"/>
      <c r="G527" s="32"/>
      <c r="H527" s="32"/>
    </row>
    <row r="528" spans="1:8" x14ac:dyDescent="0.3">
      <c r="A528" s="31"/>
      <c r="B528" s="39"/>
      <c r="C528" s="32"/>
      <c r="D528" s="32"/>
      <c r="G528" s="32"/>
      <c r="H528" s="32"/>
    </row>
    <row r="529" spans="1:8" x14ac:dyDescent="0.3">
      <c r="A529" s="31"/>
      <c r="B529" s="39"/>
      <c r="C529" s="32"/>
      <c r="D529" s="32"/>
      <c r="G529" s="32"/>
      <c r="H529" s="32"/>
    </row>
    <row r="530" spans="1:8" x14ac:dyDescent="0.3">
      <c r="A530" s="31"/>
      <c r="B530" s="39"/>
      <c r="C530" s="32"/>
      <c r="D530" s="32"/>
      <c r="G530" s="32"/>
      <c r="H530" s="32"/>
    </row>
    <row r="531" spans="1:8" x14ac:dyDescent="0.3">
      <c r="A531" s="31"/>
      <c r="B531" s="39"/>
      <c r="C531" s="32"/>
      <c r="D531" s="32"/>
      <c r="G531" s="32"/>
      <c r="H531" s="32"/>
    </row>
    <row r="532" spans="1:8" x14ac:dyDescent="0.3">
      <c r="A532" s="31"/>
      <c r="B532" s="39"/>
      <c r="C532" s="32"/>
      <c r="D532" s="32"/>
      <c r="G532" s="32"/>
      <c r="H532" s="32"/>
    </row>
    <row r="533" spans="1:8" x14ac:dyDescent="0.3">
      <c r="A533" s="31"/>
      <c r="B533" s="39"/>
      <c r="C533" s="32"/>
      <c r="D533" s="32"/>
      <c r="G533" s="32"/>
      <c r="H533" s="32"/>
    </row>
    <row r="534" spans="1:8" x14ac:dyDescent="0.3">
      <c r="A534" s="31"/>
      <c r="B534" s="39"/>
      <c r="C534" s="32"/>
      <c r="D534" s="32"/>
      <c r="G534" s="32"/>
      <c r="H534" s="32"/>
    </row>
    <row r="535" spans="1:8" x14ac:dyDescent="0.3">
      <c r="A535" s="31"/>
      <c r="B535" s="39"/>
      <c r="C535" s="32"/>
      <c r="D535" s="32"/>
      <c r="G535" s="32"/>
      <c r="H535" s="32"/>
    </row>
    <row r="536" spans="1:8" x14ac:dyDescent="0.3">
      <c r="A536" s="31"/>
      <c r="B536" s="39"/>
      <c r="C536" s="32"/>
      <c r="D536" s="32"/>
      <c r="G536" s="32"/>
      <c r="H536" s="32"/>
    </row>
    <row r="537" spans="1:8" x14ac:dyDescent="0.3">
      <c r="A537" s="31"/>
      <c r="B537" s="39"/>
      <c r="C537" s="32"/>
      <c r="D537" s="32"/>
      <c r="G537" s="32"/>
      <c r="H537" s="32"/>
    </row>
    <row r="538" spans="1:8" x14ac:dyDescent="0.3">
      <c r="A538" s="31"/>
      <c r="B538" s="39"/>
      <c r="C538" s="32"/>
      <c r="D538" s="32"/>
      <c r="G538" s="32"/>
      <c r="H538" s="32"/>
    </row>
    <row r="539" spans="1:8" x14ac:dyDescent="0.3">
      <c r="A539" s="31"/>
      <c r="B539" s="39"/>
      <c r="C539" s="32"/>
      <c r="D539" s="32"/>
      <c r="G539" s="32"/>
      <c r="H539" s="32"/>
    </row>
    <row r="540" spans="1:8" x14ac:dyDescent="0.3">
      <c r="A540" s="31"/>
      <c r="B540" s="39"/>
      <c r="C540" s="32"/>
      <c r="D540" s="32"/>
      <c r="G540" s="32"/>
      <c r="H540" s="32"/>
    </row>
    <row r="541" spans="1:8" x14ac:dyDescent="0.3">
      <c r="A541" s="31"/>
      <c r="B541" s="39"/>
      <c r="C541" s="32"/>
      <c r="D541" s="32"/>
      <c r="G541" s="32"/>
      <c r="H541" s="32"/>
    </row>
    <row r="542" spans="1:8" x14ac:dyDescent="0.3">
      <c r="A542" s="31"/>
      <c r="B542" s="39"/>
      <c r="C542" s="32"/>
      <c r="D542" s="32"/>
      <c r="G542" s="32"/>
      <c r="H542" s="32"/>
    </row>
    <row r="543" spans="1:8" x14ac:dyDescent="0.3">
      <c r="A543" s="31"/>
      <c r="B543" s="39"/>
      <c r="C543" s="32"/>
      <c r="D543" s="32"/>
      <c r="G543" s="32"/>
      <c r="H543" s="32"/>
    </row>
    <row r="544" spans="1:8" x14ac:dyDescent="0.3">
      <c r="A544" s="31"/>
      <c r="B544" s="39"/>
      <c r="C544" s="32"/>
      <c r="D544" s="32"/>
      <c r="G544" s="32"/>
      <c r="H544" s="32"/>
    </row>
    <row r="545" spans="1:8" x14ac:dyDescent="0.3">
      <c r="A545" s="31"/>
      <c r="B545" s="39"/>
      <c r="C545" s="32"/>
      <c r="D545" s="32"/>
      <c r="G545" s="32"/>
      <c r="H545" s="32"/>
    </row>
    <row r="546" spans="1:8" x14ac:dyDescent="0.3">
      <c r="A546" s="31"/>
      <c r="B546" s="39"/>
      <c r="C546" s="32"/>
      <c r="D546" s="32"/>
      <c r="G546" s="32"/>
      <c r="H546" s="32"/>
    </row>
    <row r="547" spans="1:8" x14ac:dyDescent="0.3">
      <c r="A547" s="31"/>
      <c r="B547" s="39"/>
      <c r="C547" s="32"/>
      <c r="D547" s="32"/>
      <c r="G547" s="32"/>
      <c r="H547" s="32"/>
    </row>
    <row r="548" spans="1:8" x14ac:dyDescent="0.3">
      <c r="A548" s="31"/>
      <c r="B548" s="39"/>
      <c r="C548" s="32"/>
      <c r="D548" s="32"/>
      <c r="G548" s="32"/>
      <c r="H548" s="32"/>
    </row>
    <row r="549" spans="1:8" x14ac:dyDescent="0.3">
      <c r="A549" s="31"/>
      <c r="B549" s="39"/>
      <c r="C549" s="32"/>
      <c r="D549" s="32"/>
      <c r="G549" s="32"/>
      <c r="H549" s="32"/>
    </row>
    <row r="550" spans="1:8" x14ac:dyDescent="0.3">
      <c r="A550" s="31"/>
      <c r="B550" s="39"/>
      <c r="C550" s="32"/>
      <c r="D550" s="32"/>
      <c r="G550" s="32"/>
      <c r="H550" s="32"/>
    </row>
    <row r="551" spans="1:8" x14ac:dyDescent="0.3">
      <c r="A551" s="31"/>
      <c r="B551" s="39"/>
      <c r="C551" s="32"/>
      <c r="D551" s="32"/>
      <c r="G551" s="32"/>
      <c r="H551" s="32"/>
    </row>
    <row r="552" spans="1:8" x14ac:dyDescent="0.3">
      <c r="A552" s="31"/>
      <c r="B552" s="39"/>
      <c r="C552" s="32"/>
      <c r="D552" s="32"/>
      <c r="G552" s="32"/>
      <c r="H552" s="32"/>
    </row>
    <row r="553" spans="1:8" x14ac:dyDescent="0.3">
      <c r="A553" s="31"/>
      <c r="B553" s="39"/>
      <c r="C553" s="32"/>
      <c r="D553" s="32"/>
      <c r="G553" s="32"/>
      <c r="H553" s="32"/>
    </row>
    <row r="554" spans="1:8" x14ac:dyDescent="0.3">
      <c r="A554" s="31"/>
      <c r="B554" s="39"/>
      <c r="C554" s="32"/>
      <c r="D554" s="32"/>
      <c r="G554" s="32"/>
      <c r="H554" s="32"/>
    </row>
    <row r="555" spans="1:8" x14ac:dyDescent="0.3">
      <c r="A555" s="31"/>
      <c r="B555" s="39"/>
      <c r="C555" s="32"/>
      <c r="D555" s="32"/>
      <c r="G555" s="32"/>
      <c r="H555" s="32"/>
    </row>
    <row r="556" spans="1:8" x14ac:dyDescent="0.3">
      <c r="A556" s="31"/>
      <c r="B556" s="39"/>
      <c r="C556" s="32"/>
      <c r="D556" s="32"/>
      <c r="G556" s="32"/>
      <c r="H556" s="32"/>
    </row>
    <row r="557" spans="1:8" x14ac:dyDescent="0.3">
      <c r="A557" s="31"/>
      <c r="B557" s="39"/>
      <c r="C557" s="32"/>
      <c r="D557" s="32"/>
      <c r="G557" s="32"/>
      <c r="H557" s="32"/>
    </row>
    <row r="558" spans="1:8" x14ac:dyDescent="0.3">
      <c r="A558" s="31"/>
      <c r="B558" s="39"/>
      <c r="C558" s="32"/>
      <c r="D558" s="32"/>
      <c r="G558" s="32"/>
      <c r="H558" s="32"/>
    </row>
    <row r="559" spans="1:8" x14ac:dyDescent="0.3">
      <c r="A559" s="31"/>
      <c r="B559" s="39"/>
      <c r="C559" s="32"/>
      <c r="D559" s="32"/>
      <c r="G559" s="32"/>
      <c r="H559" s="32"/>
    </row>
    <row r="560" spans="1:8" x14ac:dyDescent="0.3">
      <c r="A560" s="31"/>
      <c r="B560" s="39"/>
      <c r="C560" s="32"/>
      <c r="D560" s="32"/>
      <c r="G560" s="32"/>
      <c r="H560" s="32"/>
    </row>
    <row r="561" spans="1:8" x14ac:dyDescent="0.3">
      <c r="A561" s="31"/>
      <c r="B561" s="39"/>
      <c r="C561" s="32"/>
      <c r="D561" s="32"/>
      <c r="G561" s="32"/>
      <c r="H561" s="32"/>
    </row>
    <row r="562" spans="1:8" x14ac:dyDescent="0.3">
      <c r="A562" s="31"/>
      <c r="B562" s="39"/>
      <c r="C562" s="32"/>
      <c r="D562" s="32"/>
      <c r="G562" s="32"/>
      <c r="H562" s="32"/>
    </row>
    <row r="563" spans="1:8" x14ac:dyDescent="0.3">
      <c r="A563" s="31"/>
      <c r="B563" s="39"/>
      <c r="C563" s="32"/>
      <c r="D563" s="32"/>
      <c r="G563" s="32"/>
      <c r="H563" s="32"/>
    </row>
    <row r="564" spans="1:8" x14ac:dyDescent="0.3">
      <c r="A564" s="31"/>
      <c r="B564" s="39"/>
      <c r="C564" s="32"/>
      <c r="D564" s="32"/>
      <c r="G564" s="32"/>
      <c r="H564" s="32"/>
    </row>
    <row r="565" spans="1:8" x14ac:dyDescent="0.3">
      <c r="A565" s="31"/>
      <c r="B565" s="39"/>
      <c r="C565" s="32"/>
      <c r="D565" s="32"/>
      <c r="G565" s="32"/>
      <c r="H565" s="32"/>
    </row>
    <row r="566" spans="1:8" x14ac:dyDescent="0.3">
      <c r="A566" s="31"/>
      <c r="B566" s="39"/>
      <c r="C566" s="32"/>
      <c r="D566" s="32"/>
      <c r="G566" s="32"/>
      <c r="H566" s="32"/>
    </row>
    <row r="567" spans="1:8" x14ac:dyDescent="0.3">
      <c r="A567" s="31"/>
      <c r="B567" s="39"/>
      <c r="C567" s="32"/>
      <c r="D567" s="32"/>
      <c r="G567" s="32"/>
      <c r="H567" s="32"/>
    </row>
    <row r="568" spans="1:8" x14ac:dyDescent="0.3">
      <c r="A568" s="31"/>
      <c r="B568" s="39"/>
      <c r="C568" s="32"/>
      <c r="D568" s="32"/>
      <c r="G568" s="32"/>
      <c r="H568" s="32"/>
    </row>
    <row r="569" spans="1:8" x14ac:dyDescent="0.3">
      <c r="A569" s="31"/>
      <c r="B569" s="39"/>
      <c r="C569" s="32"/>
      <c r="D569" s="32"/>
      <c r="G569" s="32"/>
      <c r="H569" s="32"/>
    </row>
    <row r="570" spans="1:8" x14ac:dyDescent="0.3">
      <c r="A570" s="31"/>
      <c r="B570" s="39"/>
      <c r="C570" s="32"/>
      <c r="D570" s="32"/>
      <c r="G570" s="32"/>
      <c r="H570" s="32"/>
    </row>
    <row r="571" spans="1:8" x14ac:dyDescent="0.3">
      <c r="A571" s="31"/>
      <c r="B571" s="39"/>
      <c r="C571" s="32"/>
      <c r="D571" s="32"/>
      <c r="G571" s="32"/>
      <c r="H571" s="32"/>
    </row>
    <row r="572" spans="1:8" x14ac:dyDescent="0.3">
      <c r="A572" s="31"/>
      <c r="B572" s="39"/>
      <c r="C572" s="32"/>
      <c r="D572" s="32"/>
      <c r="G572" s="32"/>
      <c r="H572" s="32"/>
    </row>
    <row r="573" spans="1:8" x14ac:dyDescent="0.3">
      <c r="A573" s="31"/>
      <c r="B573" s="39"/>
      <c r="C573" s="32"/>
      <c r="D573" s="32"/>
      <c r="G573" s="32"/>
      <c r="H573" s="32"/>
    </row>
    <row r="574" spans="1:8" x14ac:dyDescent="0.3">
      <c r="A574" s="31"/>
      <c r="B574" s="39"/>
      <c r="C574" s="32"/>
      <c r="D574" s="32"/>
      <c r="G574" s="32"/>
      <c r="H574" s="32"/>
    </row>
    <row r="575" spans="1:8" x14ac:dyDescent="0.3">
      <c r="A575" s="31"/>
      <c r="B575" s="39"/>
      <c r="C575" s="32"/>
      <c r="D575" s="32"/>
      <c r="G575" s="32"/>
      <c r="H575" s="32"/>
    </row>
    <row r="576" spans="1:8" x14ac:dyDescent="0.3">
      <c r="A576" s="31"/>
      <c r="B576" s="39"/>
      <c r="C576" s="32"/>
      <c r="D576" s="32"/>
      <c r="G576" s="32"/>
      <c r="H576" s="32"/>
    </row>
    <row r="577" spans="1:8" x14ac:dyDescent="0.3">
      <c r="A577" s="31"/>
      <c r="B577" s="39"/>
      <c r="C577" s="32"/>
      <c r="D577" s="32"/>
      <c r="G577" s="32"/>
      <c r="H577" s="32"/>
    </row>
    <row r="578" spans="1:8" x14ac:dyDescent="0.3">
      <c r="A578" s="31"/>
      <c r="B578" s="39"/>
      <c r="C578" s="32"/>
      <c r="D578" s="32"/>
      <c r="G578" s="32"/>
      <c r="H578" s="32"/>
    </row>
    <row r="579" spans="1:8" x14ac:dyDescent="0.3">
      <c r="A579" s="31"/>
      <c r="B579" s="39"/>
      <c r="C579" s="32"/>
      <c r="D579" s="32"/>
      <c r="G579" s="32"/>
      <c r="H579" s="32"/>
    </row>
    <row r="580" spans="1:8" x14ac:dyDescent="0.3">
      <c r="A580" s="31"/>
      <c r="B580" s="39"/>
      <c r="C580" s="32"/>
      <c r="D580" s="32"/>
      <c r="G580" s="32"/>
      <c r="H580" s="32"/>
    </row>
    <row r="581" spans="1:8" x14ac:dyDescent="0.3">
      <c r="A581" s="31"/>
      <c r="B581" s="39"/>
      <c r="C581" s="32"/>
      <c r="D581" s="32"/>
      <c r="G581" s="32"/>
      <c r="H581" s="32"/>
    </row>
    <row r="582" spans="1:8" x14ac:dyDescent="0.3">
      <c r="A582" s="31"/>
      <c r="B582" s="39"/>
      <c r="C582" s="32"/>
      <c r="D582" s="32"/>
      <c r="G582" s="32"/>
      <c r="H582" s="32"/>
    </row>
    <row r="583" spans="1:8" x14ac:dyDescent="0.3">
      <c r="A583" s="31"/>
      <c r="B583" s="39"/>
      <c r="C583" s="32"/>
      <c r="D583" s="32"/>
      <c r="G583" s="32"/>
      <c r="H583" s="32"/>
    </row>
    <row r="584" spans="1:8" x14ac:dyDescent="0.3">
      <c r="A584" s="31"/>
      <c r="B584" s="39"/>
      <c r="C584" s="32"/>
      <c r="D584" s="32"/>
      <c r="G584" s="32"/>
      <c r="H584" s="32"/>
    </row>
    <row r="585" spans="1:8" x14ac:dyDescent="0.3">
      <c r="A585" s="31"/>
      <c r="B585" s="39"/>
      <c r="C585" s="32"/>
      <c r="D585" s="32"/>
      <c r="G585" s="32"/>
      <c r="H585" s="32"/>
    </row>
    <row r="586" spans="1:8" x14ac:dyDescent="0.3">
      <c r="A586" s="31"/>
      <c r="B586" s="39"/>
      <c r="C586" s="32"/>
      <c r="D586" s="32"/>
      <c r="G586" s="32"/>
      <c r="H586" s="32"/>
    </row>
    <row r="587" spans="1:8" x14ac:dyDescent="0.3">
      <c r="A587" s="31"/>
      <c r="B587" s="39"/>
      <c r="C587" s="32"/>
      <c r="D587" s="32"/>
      <c r="G587" s="32"/>
      <c r="H587" s="32"/>
    </row>
    <row r="588" spans="1:8" x14ac:dyDescent="0.3">
      <c r="A588" s="31"/>
      <c r="B588" s="39"/>
      <c r="C588" s="32"/>
      <c r="D588" s="32"/>
      <c r="G588" s="32"/>
      <c r="H588" s="32"/>
    </row>
    <row r="589" spans="1:8" x14ac:dyDescent="0.3">
      <c r="A589" s="31"/>
      <c r="B589" s="39"/>
      <c r="C589" s="32"/>
      <c r="D589" s="32"/>
      <c r="G589" s="32"/>
      <c r="H589" s="32"/>
    </row>
    <row r="590" spans="1:8" x14ac:dyDescent="0.3">
      <c r="A590" s="31"/>
      <c r="B590" s="39"/>
      <c r="C590" s="32"/>
      <c r="D590" s="32"/>
      <c r="G590" s="32"/>
      <c r="H590" s="32"/>
    </row>
    <row r="591" spans="1:8" x14ac:dyDescent="0.3">
      <c r="A591" s="31"/>
      <c r="B591" s="39"/>
      <c r="C591" s="32"/>
      <c r="D591" s="32"/>
      <c r="G591" s="32"/>
      <c r="H591" s="32"/>
    </row>
    <row r="592" spans="1:8" x14ac:dyDescent="0.3">
      <c r="A592" s="31"/>
      <c r="B592" s="39"/>
      <c r="C592" s="32"/>
      <c r="D592" s="32"/>
      <c r="G592" s="32"/>
      <c r="H592" s="32"/>
    </row>
    <row r="593" spans="1:8" x14ac:dyDescent="0.3">
      <c r="A593" s="31"/>
      <c r="B593" s="39"/>
      <c r="C593" s="32"/>
      <c r="D593" s="32"/>
      <c r="G593" s="32"/>
      <c r="H593" s="32"/>
    </row>
    <row r="594" spans="1:8" x14ac:dyDescent="0.3">
      <c r="A594" s="31"/>
      <c r="B594" s="39"/>
      <c r="C594" s="32"/>
      <c r="D594" s="32"/>
      <c r="G594" s="32"/>
      <c r="H594" s="32"/>
    </row>
    <row r="595" spans="1:8" x14ac:dyDescent="0.3">
      <c r="A595" s="31"/>
      <c r="B595" s="39"/>
      <c r="C595" s="32"/>
      <c r="D595" s="32"/>
      <c r="G595" s="32"/>
      <c r="H595" s="32"/>
    </row>
    <row r="596" spans="1:8" x14ac:dyDescent="0.3">
      <c r="A596" s="31"/>
      <c r="B596" s="39"/>
      <c r="C596" s="32"/>
      <c r="D596" s="32"/>
      <c r="G596" s="32"/>
      <c r="H596" s="32"/>
    </row>
    <row r="597" spans="1:8" x14ac:dyDescent="0.3">
      <c r="A597" s="31"/>
      <c r="B597" s="39"/>
      <c r="C597" s="32"/>
      <c r="D597" s="32"/>
      <c r="G597" s="32"/>
      <c r="H597" s="32"/>
    </row>
    <row r="598" spans="1:8" x14ac:dyDescent="0.3">
      <c r="A598" s="31"/>
      <c r="B598" s="39"/>
      <c r="C598" s="32"/>
      <c r="D598" s="32"/>
      <c r="G598" s="32"/>
      <c r="H598" s="32"/>
    </row>
    <row r="599" spans="1:8" x14ac:dyDescent="0.3">
      <c r="A599" s="31"/>
      <c r="B599" s="39"/>
      <c r="C599" s="32"/>
      <c r="D599" s="32"/>
      <c r="G599" s="32"/>
      <c r="H599" s="32"/>
    </row>
    <row r="600" spans="1:8" x14ac:dyDescent="0.3">
      <c r="A600" s="31"/>
      <c r="B600" s="39"/>
      <c r="C600" s="32"/>
      <c r="D600" s="32"/>
      <c r="G600" s="32"/>
      <c r="H600" s="32"/>
    </row>
    <row r="601" spans="1:8" x14ac:dyDescent="0.3">
      <c r="A601" s="31"/>
      <c r="B601" s="39"/>
      <c r="C601" s="32"/>
      <c r="D601" s="32"/>
      <c r="G601" s="32"/>
      <c r="H601" s="32"/>
    </row>
    <row r="602" spans="1:8" x14ac:dyDescent="0.3">
      <c r="A602" s="31"/>
      <c r="B602" s="39"/>
      <c r="C602" s="32"/>
      <c r="D602" s="32"/>
      <c r="G602" s="32"/>
      <c r="H602" s="32"/>
    </row>
    <row r="603" spans="1:8" x14ac:dyDescent="0.3">
      <c r="A603" s="31"/>
      <c r="B603" s="39"/>
      <c r="C603" s="32"/>
      <c r="D603" s="32"/>
      <c r="G603" s="32"/>
      <c r="H603" s="32"/>
    </row>
    <row r="604" spans="1:8" x14ac:dyDescent="0.3">
      <c r="A604" s="31"/>
      <c r="B604" s="39"/>
      <c r="C604" s="32"/>
      <c r="D604" s="32"/>
      <c r="G604" s="32"/>
      <c r="H604" s="32"/>
    </row>
    <row r="605" spans="1:8" x14ac:dyDescent="0.3">
      <c r="A605" s="31"/>
      <c r="B605" s="39"/>
      <c r="C605" s="32"/>
      <c r="D605" s="32"/>
      <c r="G605" s="32"/>
      <c r="H605" s="32"/>
    </row>
    <row r="606" spans="1:8" x14ac:dyDescent="0.3">
      <c r="A606" s="31"/>
      <c r="B606" s="39"/>
      <c r="C606" s="32"/>
      <c r="D606" s="32"/>
      <c r="G606" s="32"/>
      <c r="H606" s="32"/>
    </row>
    <row r="607" spans="1:8" x14ac:dyDescent="0.3">
      <c r="A607" s="31"/>
      <c r="B607" s="39"/>
      <c r="C607" s="32"/>
      <c r="D607" s="32"/>
      <c r="G607" s="32"/>
      <c r="H607" s="32"/>
    </row>
    <row r="608" spans="1:8" x14ac:dyDescent="0.3">
      <c r="A608" s="31"/>
      <c r="B608" s="39"/>
      <c r="C608" s="32"/>
      <c r="D608" s="32"/>
      <c r="G608" s="32"/>
      <c r="H608" s="32"/>
    </row>
    <row r="609" spans="1:8" x14ac:dyDescent="0.3">
      <c r="A609" s="31"/>
      <c r="B609" s="39"/>
      <c r="C609" s="32"/>
      <c r="D609" s="32"/>
      <c r="G609" s="32"/>
      <c r="H609" s="32"/>
    </row>
    <row r="610" spans="1:8" x14ac:dyDescent="0.3">
      <c r="A610" s="31"/>
      <c r="B610" s="39"/>
      <c r="C610" s="32"/>
      <c r="D610" s="32"/>
      <c r="G610" s="32"/>
      <c r="H610" s="32"/>
    </row>
    <row r="611" spans="1:8" x14ac:dyDescent="0.3">
      <c r="A611" s="31"/>
      <c r="B611" s="39"/>
      <c r="C611" s="32"/>
      <c r="D611" s="32"/>
      <c r="G611" s="32"/>
      <c r="H611" s="32"/>
    </row>
    <row r="612" spans="1:8" x14ac:dyDescent="0.3">
      <c r="A612" s="31"/>
      <c r="B612" s="39"/>
      <c r="C612" s="32"/>
      <c r="D612" s="32"/>
      <c r="G612" s="32"/>
      <c r="H612" s="32"/>
    </row>
    <row r="613" spans="1:8" x14ac:dyDescent="0.3">
      <c r="A613" s="31"/>
      <c r="B613" s="39"/>
      <c r="C613" s="32"/>
      <c r="D613" s="32"/>
      <c r="G613" s="32"/>
      <c r="H613" s="32"/>
    </row>
    <row r="614" spans="1:8" x14ac:dyDescent="0.3">
      <c r="A614" s="31"/>
      <c r="B614" s="39"/>
      <c r="C614" s="32"/>
      <c r="D614" s="32"/>
      <c r="G614" s="32"/>
      <c r="H614" s="32"/>
    </row>
    <row r="615" spans="1:8" x14ac:dyDescent="0.3">
      <c r="A615" s="31"/>
      <c r="B615" s="39"/>
      <c r="C615" s="32"/>
      <c r="D615" s="32"/>
      <c r="G615" s="32"/>
      <c r="H615" s="32"/>
    </row>
    <row r="616" spans="1:8" x14ac:dyDescent="0.3">
      <c r="A616" s="31"/>
      <c r="B616" s="39"/>
      <c r="C616" s="32"/>
      <c r="D616" s="32"/>
      <c r="G616" s="32"/>
      <c r="H616" s="32"/>
    </row>
    <row r="617" spans="1:8" x14ac:dyDescent="0.3">
      <c r="A617" s="31"/>
      <c r="B617" s="39"/>
      <c r="C617" s="32"/>
      <c r="D617" s="32"/>
      <c r="G617" s="32"/>
      <c r="H617" s="32"/>
    </row>
    <row r="618" spans="1:8" x14ac:dyDescent="0.3">
      <c r="A618" s="31"/>
      <c r="B618" s="39"/>
      <c r="C618" s="32"/>
      <c r="D618" s="32"/>
      <c r="G618" s="32"/>
      <c r="H618" s="32"/>
    </row>
    <row r="619" spans="1:8" x14ac:dyDescent="0.3">
      <c r="A619" s="31"/>
      <c r="B619" s="39"/>
      <c r="C619" s="32"/>
      <c r="D619" s="32"/>
      <c r="G619" s="32"/>
      <c r="H619" s="32"/>
    </row>
    <row r="620" spans="1:8" x14ac:dyDescent="0.3">
      <c r="A620" s="31"/>
      <c r="B620" s="39"/>
      <c r="C620" s="32"/>
      <c r="D620" s="32"/>
      <c r="G620" s="32"/>
      <c r="H620" s="32"/>
    </row>
    <row r="621" spans="1:8" x14ac:dyDescent="0.3">
      <c r="A621" s="31"/>
      <c r="B621" s="39"/>
      <c r="C621" s="32"/>
      <c r="D621" s="32"/>
      <c r="G621" s="32"/>
      <c r="H621" s="32"/>
    </row>
    <row r="622" spans="1:8" x14ac:dyDescent="0.3">
      <c r="A622" s="31"/>
      <c r="B622" s="39"/>
      <c r="C622" s="32"/>
      <c r="D622" s="32"/>
      <c r="G622" s="32"/>
      <c r="H622" s="32"/>
    </row>
    <row r="623" spans="1:8" x14ac:dyDescent="0.3">
      <c r="A623" s="31"/>
      <c r="B623" s="39"/>
      <c r="C623" s="32"/>
      <c r="D623" s="32"/>
      <c r="G623" s="32"/>
      <c r="H623" s="32"/>
    </row>
    <row r="624" spans="1:8" x14ac:dyDescent="0.3">
      <c r="A624" s="31"/>
      <c r="B624" s="39"/>
      <c r="C624" s="32"/>
      <c r="D624" s="32"/>
      <c r="G624" s="32"/>
      <c r="H624" s="32"/>
    </row>
    <row r="625" spans="1:8" x14ac:dyDescent="0.3">
      <c r="A625" s="31"/>
      <c r="B625" s="39"/>
      <c r="C625" s="32"/>
      <c r="D625" s="32"/>
      <c r="G625" s="32"/>
      <c r="H625" s="32"/>
    </row>
    <row r="626" spans="1:8" x14ac:dyDescent="0.3">
      <c r="A626" s="31"/>
      <c r="B626" s="39"/>
      <c r="C626" s="32"/>
      <c r="D626" s="32"/>
      <c r="G626" s="32"/>
      <c r="H626" s="32"/>
    </row>
    <row r="627" spans="1:8" x14ac:dyDescent="0.3">
      <c r="A627" s="31"/>
      <c r="B627" s="39"/>
      <c r="C627" s="32"/>
      <c r="D627" s="32"/>
      <c r="G627" s="32"/>
      <c r="H627" s="32"/>
    </row>
    <row r="628" spans="1:8" x14ac:dyDescent="0.3">
      <c r="A628" s="31"/>
      <c r="B628" s="39"/>
      <c r="C628" s="32"/>
      <c r="D628" s="32"/>
      <c r="G628" s="32"/>
      <c r="H628" s="32"/>
    </row>
    <row r="629" spans="1:8" x14ac:dyDescent="0.3">
      <c r="A629" s="31"/>
      <c r="B629" s="39"/>
      <c r="C629" s="32"/>
      <c r="D629" s="32"/>
      <c r="G629" s="32"/>
      <c r="H629" s="32"/>
    </row>
    <row r="630" spans="1:8" x14ac:dyDescent="0.3">
      <c r="A630" s="31"/>
      <c r="B630" s="39"/>
      <c r="C630" s="32"/>
      <c r="D630" s="32"/>
      <c r="G630" s="32"/>
      <c r="H630" s="32"/>
    </row>
    <row r="631" spans="1:8" x14ac:dyDescent="0.3">
      <c r="A631" s="31"/>
      <c r="B631" s="39"/>
      <c r="C631" s="32"/>
      <c r="D631" s="32"/>
      <c r="G631" s="32"/>
      <c r="H631" s="32"/>
    </row>
    <row r="632" spans="1:8" x14ac:dyDescent="0.3">
      <c r="A632" s="31"/>
      <c r="B632" s="39"/>
      <c r="C632" s="32"/>
      <c r="D632" s="32"/>
      <c r="G632" s="32"/>
      <c r="H632" s="32"/>
    </row>
    <row r="633" spans="1:8" x14ac:dyDescent="0.3">
      <c r="A633" s="31"/>
      <c r="B633" s="39"/>
      <c r="C633" s="32"/>
      <c r="D633" s="32"/>
      <c r="G633" s="32"/>
      <c r="H633" s="32"/>
    </row>
    <row r="634" spans="1:8" x14ac:dyDescent="0.3">
      <c r="A634" s="31"/>
      <c r="B634" s="39"/>
      <c r="C634" s="32"/>
      <c r="D634" s="32"/>
      <c r="G634" s="32"/>
      <c r="H634" s="32"/>
    </row>
    <row r="635" spans="1:8" x14ac:dyDescent="0.3">
      <c r="A635" s="31"/>
      <c r="B635" s="39"/>
      <c r="C635" s="32"/>
      <c r="D635" s="32"/>
      <c r="G635" s="32"/>
      <c r="H635" s="32"/>
    </row>
    <row r="636" spans="1:8" x14ac:dyDescent="0.3">
      <c r="A636" s="31"/>
      <c r="B636" s="39"/>
      <c r="C636" s="32"/>
      <c r="D636" s="32"/>
      <c r="G636" s="32"/>
      <c r="H636" s="32"/>
    </row>
    <row r="637" spans="1:8" x14ac:dyDescent="0.3">
      <c r="A637" s="31"/>
      <c r="B637" s="39"/>
      <c r="C637" s="32"/>
      <c r="D637" s="32"/>
      <c r="G637" s="32"/>
      <c r="H637" s="32"/>
    </row>
    <row r="638" spans="1:8" x14ac:dyDescent="0.3">
      <c r="A638" s="31"/>
      <c r="B638" s="39"/>
      <c r="C638" s="32"/>
      <c r="D638" s="32"/>
      <c r="G638" s="32"/>
      <c r="H638" s="32"/>
    </row>
    <row r="639" spans="1:8" x14ac:dyDescent="0.3">
      <c r="A639" s="31"/>
      <c r="B639" s="39"/>
      <c r="C639" s="32"/>
      <c r="D639" s="32"/>
      <c r="G639" s="32"/>
      <c r="H639" s="32"/>
    </row>
    <row r="640" spans="1:8" x14ac:dyDescent="0.3">
      <c r="A640" s="31"/>
      <c r="B640" s="39"/>
      <c r="C640" s="32"/>
      <c r="D640" s="32"/>
      <c r="G640" s="32"/>
      <c r="H640" s="32"/>
    </row>
    <row r="641" spans="1:8" x14ac:dyDescent="0.3">
      <c r="A641" s="31"/>
      <c r="B641" s="39"/>
      <c r="C641" s="32"/>
      <c r="D641" s="32"/>
      <c r="G641" s="32"/>
      <c r="H641" s="32"/>
    </row>
    <row r="642" spans="1:8" x14ac:dyDescent="0.3">
      <c r="A642" s="31"/>
      <c r="B642" s="39"/>
      <c r="C642" s="32"/>
      <c r="D642" s="32"/>
      <c r="G642" s="32"/>
      <c r="H642" s="32"/>
    </row>
    <row r="643" spans="1:8" x14ac:dyDescent="0.3">
      <c r="A643" s="31"/>
      <c r="B643" s="39"/>
      <c r="C643" s="32"/>
      <c r="D643" s="32"/>
      <c r="G643" s="32"/>
      <c r="H643" s="32"/>
    </row>
    <row r="644" spans="1:8" x14ac:dyDescent="0.3">
      <c r="A644" s="31"/>
      <c r="B644" s="39"/>
      <c r="C644" s="32"/>
      <c r="D644" s="32"/>
      <c r="G644" s="32"/>
      <c r="H644" s="32"/>
    </row>
    <row r="645" spans="1:8" x14ac:dyDescent="0.3">
      <c r="A645" s="31"/>
      <c r="B645" s="39"/>
      <c r="C645" s="32"/>
      <c r="D645" s="32"/>
      <c r="G645" s="32"/>
      <c r="H645" s="32"/>
    </row>
    <row r="646" spans="1:8" x14ac:dyDescent="0.3">
      <c r="A646" s="31"/>
      <c r="B646" s="39"/>
      <c r="C646" s="32"/>
      <c r="D646" s="32"/>
      <c r="G646" s="32"/>
      <c r="H646" s="32"/>
    </row>
    <row r="647" spans="1:8" x14ac:dyDescent="0.3">
      <c r="A647" s="31"/>
      <c r="B647" s="39"/>
      <c r="C647" s="32"/>
      <c r="D647" s="32"/>
      <c r="G647" s="32"/>
      <c r="H647" s="32"/>
    </row>
    <row r="648" spans="1:8" x14ac:dyDescent="0.3">
      <c r="A648" s="31"/>
      <c r="B648" s="39"/>
      <c r="C648" s="32"/>
      <c r="D648" s="32"/>
      <c r="G648" s="32"/>
      <c r="H648" s="32"/>
    </row>
    <row r="649" spans="1:8" x14ac:dyDescent="0.3">
      <c r="A649" s="31"/>
      <c r="B649" s="39"/>
      <c r="C649" s="32"/>
      <c r="D649" s="32"/>
      <c r="G649" s="32"/>
      <c r="H649" s="32"/>
    </row>
    <row r="650" spans="1:8" x14ac:dyDescent="0.3">
      <c r="A650" s="31"/>
      <c r="B650" s="39"/>
      <c r="C650" s="32"/>
      <c r="D650" s="32"/>
      <c r="G650" s="32"/>
      <c r="H650" s="32"/>
    </row>
    <row r="651" spans="1:8" x14ac:dyDescent="0.3">
      <c r="A651" s="31"/>
      <c r="B651" s="39"/>
      <c r="C651" s="32"/>
      <c r="D651" s="32"/>
      <c r="G651" s="32"/>
      <c r="H651" s="32"/>
    </row>
    <row r="652" spans="1:8" x14ac:dyDescent="0.3">
      <c r="A652" s="31"/>
      <c r="B652" s="39"/>
      <c r="C652" s="32"/>
      <c r="D652" s="32"/>
      <c r="G652" s="32"/>
      <c r="H652" s="32"/>
    </row>
    <row r="653" spans="1:8" x14ac:dyDescent="0.3">
      <c r="A653" s="31"/>
      <c r="B653" s="39"/>
      <c r="C653" s="32"/>
      <c r="D653" s="32"/>
      <c r="G653" s="32"/>
      <c r="H653" s="32"/>
    </row>
    <row r="654" spans="1:8" x14ac:dyDescent="0.3">
      <c r="A654" s="31"/>
      <c r="B654" s="39"/>
      <c r="C654" s="32"/>
      <c r="D654" s="32"/>
      <c r="G654" s="32"/>
      <c r="H654" s="32"/>
    </row>
    <row r="655" spans="1:8" x14ac:dyDescent="0.3">
      <c r="A655" s="31"/>
      <c r="B655" s="39"/>
      <c r="C655" s="32"/>
      <c r="D655" s="32"/>
      <c r="G655" s="32"/>
      <c r="H655" s="32"/>
    </row>
    <row r="656" spans="1:8" x14ac:dyDescent="0.3">
      <c r="A656" s="31"/>
      <c r="B656" s="39"/>
      <c r="C656" s="32"/>
      <c r="D656" s="32"/>
      <c r="G656" s="32"/>
      <c r="H656" s="32"/>
    </row>
    <row r="657" spans="1:8" x14ac:dyDescent="0.3">
      <c r="A657" s="31"/>
      <c r="B657" s="39"/>
      <c r="C657" s="32"/>
      <c r="D657" s="32"/>
      <c r="G657" s="32"/>
      <c r="H657" s="32"/>
    </row>
    <row r="658" spans="1:8" x14ac:dyDescent="0.3">
      <c r="A658" s="31"/>
      <c r="B658" s="39"/>
      <c r="C658" s="32"/>
      <c r="D658" s="32"/>
      <c r="G658" s="32"/>
      <c r="H658" s="32"/>
    </row>
    <row r="659" spans="1:8" x14ac:dyDescent="0.3">
      <c r="A659" s="31"/>
      <c r="B659" s="39"/>
      <c r="C659" s="32"/>
      <c r="D659" s="32"/>
      <c r="G659" s="32"/>
      <c r="H659" s="32"/>
    </row>
    <row r="660" spans="1:8" x14ac:dyDescent="0.3">
      <c r="A660" s="31"/>
      <c r="B660" s="39"/>
      <c r="C660" s="32"/>
      <c r="D660" s="32"/>
      <c r="G660" s="32"/>
      <c r="H660" s="32"/>
    </row>
    <row r="661" spans="1:8" x14ac:dyDescent="0.3">
      <c r="A661" s="31"/>
      <c r="B661" s="39"/>
      <c r="C661" s="32"/>
      <c r="D661" s="32"/>
      <c r="G661" s="32"/>
      <c r="H661" s="32"/>
    </row>
    <row r="662" spans="1:8" x14ac:dyDescent="0.3">
      <c r="A662" s="31"/>
      <c r="B662" s="39"/>
      <c r="C662" s="32"/>
      <c r="D662" s="32"/>
      <c r="G662" s="32"/>
      <c r="H662" s="32"/>
    </row>
    <row r="663" spans="1:8" x14ac:dyDescent="0.3">
      <c r="A663" s="31"/>
      <c r="B663" s="39"/>
      <c r="C663" s="32"/>
      <c r="D663" s="32"/>
      <c r="G663" s="32"/>
      <c r="H663" s="32"/>
    </row>
    <row r="664" spans="1:8" x14ac:dyDescent="0.3">
      <c r="A664" s="31"/>
      <c r="B664" s="39"/>
      <c r="C664" s="32"/>
      <c r="D664" s="32"/>
      <c r="G664" s="32"/>
      <c r="H664" s="32"/>
    </row>
    <row r="665" spans="1:8" x14ac:dyDescent="0.3">
      <c r="A665" s="31"/>
      <c r="B665" s="39"/>
      <c r="C665" s="32"/>
      <c r="D665" s="32"/>
      <c r="G665" s="32"/>
      <c r="H665" s="32"/>
    </row>
    <row r="666" spans="1:8" x14ac:dyDescent="0.3">
      <c r="A666" s="31"/>
      <c r="B666" s="39"/>
      <c r="C666" s="32"/>
      <c r="D666" s="32"/>
      <c r="G666" s="32"/>
      <c r="H666" s="32"/>
    </row>
    <row r="667" spans="1:8" x14ac:dyDescent="0.3">
      <c r="A667" s="31"/>
      <c r="B667" s="39"/>
      <c r="C667" s="32"/>
      <c r="D667" s="32"/>
      <c r="G667" s="32"/>
      <c r="H667" s="32"/>
    </row>
    <row r="668" spans="1:8" x14ac:dyDescent="0.3">
      <c r="A668" s="31"/>
      <c r="B668" s="39"/>
      <c r="C668" s="32"/>
      <c r="D668" s="32"/>
      <c r="G668" s="32"/>
      <c r="H668" s="32"/>
    </row>
    <row r="669" spans="1:8" x14ac:dyDescent="0.3">
      <c r="A669" s="31"/>
      <c r="B669" s="39"/>
      <c r="C669" s="32"/>
      <c r="D669" s="32"/>
      <c r="G669" s="32"/>
      <c r="H669" s="32"/>
    </row>
    <row r="670" spans="1:8" x14ac:dyDescent="0.3">
      <c r="A670" s="31"/>
      <c r="B670" s="39"/>
      <c r="C670" s="32"/>
      <c r="D670" s="32"/>
      <c r="G670" s="32"/>
      <c r="H670" s="32"/>
    </row>
    <row r="671" spans="1:8" x14ac:dyDescent="0.3">
      <c r="A671" s="31"/>
      <c r="B671" s="39"/>
      <c r="C671" s="32"/>
      <c r="D671" s="32"/>
      <c r="G671" s="32"/>
      <c r="H671" s="32"/>
    </row>
    <row r="672" spans="1:8" x14ac:dyDescent="0.3">
      <c r="A672" s="31"/>
      <c r="B672" s="39"/>
      <c r="C672" s="32"/>
      <c r="D672" s="32"/>
      <c r="G672" s="32"/>
      <c r="H672" s="32"/>
    </row>
    <row r="673" spans="1:8" x14ac:dyDescent="0.3">
      <c r="A673" s="31"/>
      <c r="B673" s="39"/>
      <c r="C673" s="32"/>
      <c r="D673" s="32"/>
      <c r="G673" s="32"/>
      <c r="H673" s="32"/>
    </row>
    <row r="674" spans="1:8" x14ac:dyDescent="0.3">
      <c r="A674" s="31"/>
      <c r="B674" s="39"/>
      <c r="C674" s="32"/>
      <c r="D674" s="32"/>
      <c r="G674" s="32"/>
      <c r="H674" s="32"/>
    </row>
    <row r="675" spans="1:8" x14ac:dyDescent="0.3">
      <c r="A675" s="31"/>
      <c r="B675" s="39"/>
      <c r="C675" s="32"/>
      <c r="D675" s="32"/>
      <c r="G675" s="32"/>
      <c r="H675" s="32"/>
    </row>
    <row r="676" spans="1:8" x14ac:dyDescent="0.3">
      <c r="A676" s="31"/>
      <c r="B676" s="39"/>
      <c r="C676" s="32"/>
      <c r="D676" s="32"/>
      <c r="G676" s="32"/>
      <c r="H676" s="32"/>
    </row>
    <row r="677" spans="1:8" x14ac:dyDescent="0.3">
      <c r="A677" s="31"/>
      <c r="B677" s="39"/>
      <c r="C677" s="32"/>
      <c r="D677" s="32"/>
      <c r="G677" s="32"/>
      <c r="H677" s="32"/>
    </row>
    <row r="678" spans="1:8" x14ac:dyDescent="0.3">
      <c r="A678" s="31"/>
      <c r="B678" s="39"/>
      <c r="C678" s="32"/>
      <c r="D678" s="32"/>
      <c r="G678" s="32"/>
      <c r="H678" s="32"/>
    </row>
    <row r="679" spans="1:8" x14ac:dyDescent="0.3">
      <c r="A679" s="31"/>
      <c r="B679" s="39"/>
      <c r="C679" s="32"/>
      <c r="D679" s="32"/>
      <c r="G679" s="32"/>
      <c r="H679" s="32"/>
    </row>
    <row r="680" spans="1:8" x14ac:dyDescent="0.3">
      <c r="A680" s="31"/>
      <c r="B680" s="39"/>
      <c r="C680" s="32"/>
      <c r="D680" s="32"/>
      <c r="G680" s="32"/>
      <c r="H680" s="32"/>
    </row>
    <row r="681" spans="1:8" x14ac:dyDescent="0.3">
      <c r="A681" s="31"/>
      <c r="B681" s="39"/>
      <c r="C681" s="32"/>
      <c r="D681" s="32"/>
      <c r="G681" s="32"/>
      <c r="H681" s="32"/>
    </row>
    <row r="682" spans="1:8" x14ac:dyDescent="0.3">
      <c r="A682" s="31"/>
      <c r="B682" s="39"/>
      <c r="C682" s="32"/>
      <c r="D682" s="32"/>
      <c r="G682" s="32"/>
      <c r="H682" s="32"/>
    </row>
    <row r="683" spans="1:8" x14ac:dyDescent="0.3">
      <c r="A683" s="31"/>
      <c r="B683" s="39"/>
      <c r="C683" s="32"/>
      <c r="D683" s="32"/>
      <c r="G683" s="32"/>
      <c r="H683" s="32"/>
    </row>
    <row r="684" spans="1:8" x14ac:dyDescent="0.3">
      <c r="A684" s="31"/>
      <c r="B684" s="39"/>
      <c r="C684" s="32"/>
      <c r="D684" s="32"/>
      <c r="G684" s="32"/>
      <c r="H684" s="32"/>
    </row>
    <row r="685" spans="1:8" x14ac:dyDescent="0.3">
      <c r="A685" s="31"/>
      <c r="B685" s="39"/>
      <c r="C685" s="32"/>
      <c r="D685" s="32"/>
      <c r="G685" s="32"/>
      <c r="H685" s="32"/>
    </row>
    <row r="686" spans="1:8" x14ac:dyDescent="0.3">
      <c r="A686" s="31"/>
      <c r="B686" s="39"/>
      <c r="C686" s="32"/>
      <c r="D686" s="32"/>
      <c r="G686" s="32"/>
      <c r="H686" s="32"/>
    </row>
    <row r="687" spans="1:8" x14ac:dyDescent="0.3">
      <c r="A687" s="31"/>
      <c r="B687" s="39"/>
      <c r="C687" s="32"/>
      <c r="D687" s="32"/>
      <c r="G687" s="32"/>
      <c r="H687" s="32"/>
    </row>
    <row r="688" spans="1:8" x14ac:dyDescent="0.3">
      <c r="A688" s="31"/>
      <c r="B688" s="39"/>
      <c r="C688" s="32"/>
      <c r="D688" s="32"/>
      <c r="G688" s="32"/>
      <c r="H688" s="32"/>
    </row>
    <row r="689" spans="1:8" x14ac:dyDescent="0.3">
      <c r="A689" s="31"/>
      <c r="B689" s="39"/>
      <c r="C689" s="32"/>
      <c r="D689" s="32"/>
      <c r="G689" s="32"/>
      <c r="H689" s="32"/>
    </row>
    <row r="690" spans="1:8" x14ac:dyDescent="0.3">
      <c r="A690" s="31"/>
      <c r="B690" s="39"/>
      <c r="C690" s="32"/>
      <c r="D690" s="32"/>
      <c r="G690" s="32"/>
      <c r="H690" s="32"/>
    </row>
    <row r="691" spans="1:8" x14ac:dyDescent="0.3">
      <c r="A691" s="31"/>
      <c r="B691" s="39"/>
      <c r="C691" s="32"/>
      <c r="D691" s="32"/>
      <c r="G691" s="32"/>
      <c r="H691" s="32"/>
    </row>
    <row r="692" spans="1:8" x14ac:dyDescent="0.3">
      <c r="A692" s="31"/>
      <c r="B692" s="39"/>
      <c r="C692" s="32"/>
      <c r="D692" s="32"/>
      <c r="G692" s="32"/>
      <c r="H692" s="32"/>
    </row>
    <row r="693" spans="1:8" x14ac:dyDescent="0.3">
      <c r="A693" s="31"/>
      <c r="B693" s="39"/>
      <c r="C693" s="32"/>
      <c r="D693" s="32"/>
      <c r="G693" s="32"/>
      <c r="H693" s="32"/>
    </row>
    <row r="694" spans="1:8" x14ac:dyDescent="0.3">
      <c r="A694" s="31"/>
      <c r="B694" s="39"/>
      <c r="C694" s="32"/>
      <c r="D694" s="32"/>
      <c r="G694" s="32"/>
      <c r="H694" s="32"/>
    </row>
    <row r="695" spans="1:8" x14ac:dyDescent="0.3">
      <c r="A695" s="31"/>
      <c r="B695" s="39"/>
      <c r="C695" s="32"/>
      <c r="D695" s="32"/>
      <c r="G695" s="32"/>
      <c r="H695" s="32"/>
    </row>
    <row r="696" spans="1:8" x14ac:dyDescent="0.3">
      <c r="A696" s="31"/>
      <c r="B696" s="39"/>
      <c r="C696" s="32"/>
      <c r="D696" s="32"/>
      <c r="G696" s="32"/>
      <c r="H696" s="32"/>
    </row>
    <row r="697" spans="1:8" x14ac:dyDescent="0.3">
      <c r="A697" s="31"/>
      <c r="B697" s="39"/>
      <c r="C697" s="32"/>
      <c r="D697" s="32"/>
      <c r="G697" s="32"/>
      <c r="H697" s="32"/>
    </row>
    <row r="698" spans="1:8" x14ac:dyDescent="0.3">
      <c r="A698" s="31"/>
      <c r="B698" s="39"/>
      <c r="C698" s="32"/>
      <c r="D698" s="32"/>
      <c r="G698" s="32"/>
      <c r="H698" s="32"/>
    </row>
    <row r="699" spans="1:8" x14ac:dyDescent="0.3">
      <c r="A699" s="31"/>
      <c r="B699" s="39"/>
      <c r="C699" s="32"/>
      <c r="D699" s="32"/>
      <c r="G699" s="32"/>
      <c r="H699" s="32"/>
    </row>
    <row r="700" spans="1:8" x14ac:dyDescent="0.3">
      <c r="A700" s="31"/>
      <c r="B700" s="39"/>
      <c r="C700" s="32"/>
      <c r="D700" s="32"/>
      <c r="G700" s="32"/>
      <c r="H700" s="32"/>
    </row>
    <row r="701" spans="1:8" x14ac:dyDescent="0.3">
      <c r="A701" s="31"/>
      <c r="B701" s="39"/>
      <c r="C701" s="32"/>
      <c r="D701" s="32"/>
      <c r="G701" s="32"/>
      <c r="H701" s="32"/>
    </row>
    <row r="702" spans="1:8" x14ac:dyDescent="0.3">
      <c r="A702" s="31"/>
      <c r="B702" s="39"/>
      <c r="C702" s="32"/>
      <c r="D702" s="32"/>
      <c r="G702" s="32"/>
      <c r="H702" s="32"/>
    </row>
    <row r="703" spans="1:8" x14ac:dyDescent="0.3">
      <c r="A703" s="31"/>
      <c r="B703" s="39"/>
      <c r="C703" s="32"/>
      <c r="D703" s="32"/>
      <c r="G703" s="32"/>
      <c r="H703" s="32"/>
    </row>
    <row r="704" spans="1:8" x14ac:dyDescent="0.3">
      <c r="A704" s="31"/>
      <c r="B704" s="39"/>
      <c r="C704" s="32"/>
      <c r="D704" s="32"/>
      <c r="G704" s="32"/>
      <c r="H704" s="32"/>
    </row>
    <row r="705" spans="1:8" x14ac:dyDescent="0.3">
      <c r="A705" s="31"/>
      <c r="B705" s="39"/>
      <c r="C705" s="32"/>
      <c r="D705" s="32"/>
      <c r="G705" s="32"/>
      <c r="H705" s="32"/>
    </row>
    <row r="706" spans="1:8" x14ac:dyDescent="0.3">
      <c r="A706" s="31"/>
      <c r="B706" s="39"/>
      <c r="C706" s="32"/>
      <c r="D706" s="32"/>
      <c r="G706" s="32"/>
      <c r="H706" s="32"/>
    </row>
    <row r="707" spans="1:8" x14ac:dyDescent="0.3">
      <c r="A707" s="31"/>
      <c r="B707" s="39"/>
      <c r="C707" s="32"/>
      <c r="D707" s="32"/>
      <c r="G707" s="32"/>
      <c r="H707" s="32"/>
    </row>
    <row r="708" spans="1:8" x14ac:dyDescent="0.3">
      <c r="A708" s="31"/>
      <c r="B708" s="39"/>
      <c r="C708" s="32"/>
      <c r="D708" s="32"/>
      <c r="G708" s="32"/>
      <c r="H708" s="32"/>
    </row>
    <row r="709" spans="1:8" x14ac:dyDescent="0.3">
      <c r="A709" s="31"/>
      <c r="B709" s="39"/>
      <c r="C709" s="32"/>
      <c r="D709" s="32"/>
      <c r="G709" s="32"/>
      <c r="H709" s="32"/>
    </row>
    <row r="710" spans="1:8" x14ac:dyDescent="0.3">
      <c r="A710" s="31"/>
      <c r="B710" s="39"/>
      <c r="C710" s="32"/>
      <c r="D710" s="32"/>
      <c r="G710" s="32"/>
      <c r="H710" s="32"/>
    </row>
    <row r="711" spans="1:8" x14ac:dyDescent="0.3">
      <c r="A711" s="31"/>
      <c r="B711" s="39"/>
      <c r="C711" s="32"/>
      <c r="D711" s="32"/>
      <c r="G711" s="32"/>
      <c r="H711" s="32"/>
    </row>
    <row r="712" spans="1:8" x14ac:dyDescent="0.3">
      <c r="A712" s="31"/>
      <c r="B712" s="39"/>
      <c r="C712" s="32"/>
      <c r="D712" s="32"/>
      <c r="G712" s="32"/>
      <c r="H712" s="32"/>
    </row>
    <row r="713" spans="1:8" x14ac:dyDescent="0.3">
      <c r="A713" s="31"/>
      <c r="B713" s="39"/>
      <c r="C713" s="32"/>
      <c r="D713" s="32"/>
      <c r="G713" s="32"/>
      <c r="H713" s="32"/>
    </row>
    <row r="714" spans="1:8" x14ac:dyDescent="0.3">
      <c r="A714" s="31"/>
      <c r="B714" s="39"/>
      <c r="C714" s="32"/>
      <c r="D714" s="32"/>
      <c r="G714" s="32"/>
      <c r="H714" s="32"/>
    </row>
    <row r="715" spans="1:8" x14ac:dyDescent="0.3">
      <c r="A715" s="31"/>
      <c r="B715" s="39"/>
      <c r="C715" s="32"/>
      <c r="D715" s="32"/>
      <c r="G715" s="32"/>
      <c r="H715" s="32"/>
    </row>
    <row r="716" spans="1:8" x14ac:dyDescent="0.3">
      <c r="A716" s="31"/>
      <c r="B716" s="39"/>
      <c r="C716" s="32"/>
      <c r="D716" s="32"/>
      <c r="G716" s="32"/>
      <c r="H716" s="32"/>
    </row>
    <row r="717" spans="1:8" x14ac:dyDescent="0.3">
      <c r="A717" s="31"/>
      <c r="B717" s="39"/>
      <c r="C717" s="32"/>
      <c r="D717" s="32"/>
      <c r="G717" s="32"/>
      <c r="H717" s="32"/>
    </row>
    <row r="718" spans="1:8" x14ac:dyDescent="0.3">
      <c r="A718" s="31"/>
      <c r="B718" s="39"/>
      <c r="C718" s="32"/>
      <c r="D718" s="32"/>
      <c r="G718" s="32"/>
      <c r="H718" s="32"/>
    </row>
    <row r="719" spans="1:8" x14ac:dyDescent="0.3">
      <c r="A719" s="31"/>
      <c r="B719" s="39"/>
      <c r="C719" s="32"/>
      <c r="D719" s="32"/>
      <c r="G719" s="32"/>
      <c r="H719" s="32"/>
    </row>
    <row r="720" spans="1:8" x14ac:dyDescent="0.3">
      <c r="A720" s="31"/>
      <c r="B720" s="39"/>
      <c r="C720" s="32"/>
      <c r="D720" s="32"/>
      <c r="G720" s="32"/>
      <c r="H720" s="32"/>
    </row>
    <row r="721" spans="1:8" x14ac:dyDescent="0.3">
      <c r="A721" s="31"/>
      <c r="B721" s="39"/>
      <c r="C721" s="32"/>
      <c r="D721" s="32"/>
      <c r="G721" s="32"/>
      <c r="H721" s="32"/>
    </row>
    <row r="722" spans="1:8" x14ac:dyDescent="0.3">
      <c r="A722" s="31"/>
      <c r="B722" s="39"/>
      <c r="C722" s="32"/>
      <c r="D722" s="32"/>
      <c r="G722" s="32"/>
      <c r="H722" s="32"/>
    </row>
    <row r="723" spans="1:8" x14ac:dyDescent="0.3">
      <c r="A723" s="31"/>
      <c r="B723" s="39"/>
      <c r="C723" s="32"/>
      <c r="D723" s="32"/>
      <c r="G723" s="32"/>
      <c r="H723" s="32"/>
    </row>
    <row r="724" spans="1:8" x14ac:dyDescent="0.3">
      <c r="A724" s="31"/>
      <c r="B724" s="39"/>
      <c r="C724" s="32"/>
      <c r="D724" s="32"/>
      <c r="G724" s="32"/>
      <c r="H724" s="32"/>
    </row>
    <row r="725" spans="1:8" x14ac:dyDescent="0.3">
      <c r="A725" s="31"/>
      <c r="B725" s="39"/>
      <c r="C725" s="32"/>
      <c r="D725" s="32"/>
      <c r="G725" s="32"/>
      <c r="H725" s="32"/>
    </row>
    <row r="726" spans="1:8" x14ac:dyDescent="0.3">
      <c r="A726" s="31"/>
      <c r="B726" s="39"/>
      <c r="C726" s="32"/>
      <c r="D726" s="32"/>
      <c r="G726" s="32"/>
      <c r="H726" s="32"/>
    </row>
    <row r="727" spans="1:8" x14ac:dyDescent="0.3">
      <c r="A727" s="31"/>
      <c r="B727" s="39"/>
      <c r="C727" s="32"/>
      <c r="D727" s="32"/>
      <c r="G727" s="32"/>
      <c r="H727" s="32"/>
    </row>
    <row r="728" spans="1:8" x14ac:dyDescent="0.3">
      <c r="A728" s="31"/>
      <c r="B728" s="39"/>
      <c r="C728" s="32"/>
      <c r="D728" s="32"/>
      <c r="G728" s="32"/>
      <c r="H728" s="32"/>
    </row>
    <row r="729" spans="1:8" x14ac:dyDescent="0.3">
      <c r="A729" s="31"/>
      <c r="B729" s="39"/>
      <c r="C729" s="32"/>
      <c r="D729" s="32"/>
      <c r="G729" s="32"/>
      <c r="H729" s="32"/>
    </row>
    <row r="730" spans="1:8" x14ac:dyDescent="0.3">
      <c r="A730" s="31"/>
      <c r="B730" s="39"/>
      <c r="C730" s="32"/>
      <c r="D730" s="32"/>
      <c r="G730" s="32"/>
      <c r="H730" s="32"/>
    </row>
    <row r="731" spans="1:8" x14ac:dyDescent="0.3">
      <c r="A731" s="31"/>
      <c r="B731" s="39"/>
      <c r="C731" s="32"/>
      <c r="D731" s="32"/>
      <c r="G731" s="32"/>
      <c r="H731" s="32"/>
    </row>
    <row r="732" spans="1:8" x14ac:dyDescent="0.3">
      <c r="A732" s="31"/>
      <c r="B732" s="39"/>
      <c r="C732" s="32"/>
      <c r="D732" s="32"/>
      <c r="G732" s="32"/>
      <c r="H732" s="32"/>
    </row>
    <row r="733" spans="1:8" x14ac:dyDescent="0.3">
      <c r="A733" s="31"/>
      <c r="B733" s="39"/>
      <c r="C733" s="32"/>
      <c r="D733" s="32"/>
      <c r="G733" s="32"/>
      <c r="H733" s="32"/>
    </row>
    <row r="734" spans="1:8" x14ac:dyDescent="0.3">
      <c r="A734" s="31"/>
      <c r="B734" s="39"/>
      <c r="C734" s="32"/>
      <c r="D734" s="32"/>
      <c r="G734" s="32"/>
      <c r="H734" s="32"/>
    </row>
    <row r="735" spans="1:8" x14ac:dyDescent="0.3">
      <c r="A735" s="31"/>
      <c r="B735" s="39"/>
      <c r="C735" s="32"/>
      <c r="D735" s="32"/>
      <c r="G735" s="32"/>
      <c r="H735" s="32"/>
    </row>
    <row r="736" spans="1:8" x14ac:dyDescent="0.3">
      <c r="A736" s="31"/>
      <c r="B736" s="39"/>
      <c r="C736" s="32"/>
      <c r="D736" s="32"/>
      <c r="G736" s="32"/>
      <c r="H736" s="32"/>
    </row>
    <row r="737" spans="1:8" x14ac:dyDescent="0.3">
      <c r="A737" s="31"/>
      <c r="B737" s="39"/>
      <c r="C737" s="32"/>
      <c r="D737" s="32"/>
      <c r="G737" s="32"/>
      <c r="H737" s="32"/>
    </row>
    <row r="738" spans="1:8" x14ac:dyDescent="0.3">
      <c r="A738" s="31"/>
      <c r="B738" s="39"/>
      <c r="C738" s="32"/>
      <c r="D738" s="32"/>
      <c r="G738" s="32"/>
      <c r="H738" s="32"/>
    </row>
    <row r="739" spans="1:8" x14ac:dyDescent="0.3">
      <c r="A739" s="31"/>
      <c r="B739" s="39"/>
      <c r="C739" s="32"/>
      <c r="D739" s="32"/>
      <c r="G739" s="32"/>
      <c r="H739" s="32"/>
    </row>
    <row r="740" spans="1:8" x14ac:dyDescent="0.3">
      <c r="A740" s="31"/>
      <c r="B740" s="39"/>
      <c r="C740" s="32"/>
      <c r="D740" s="32"/>
      <c r="G740" s="32"/>
      <c r="H740" s="32"/>
    </row>
    <row r="741" spans="1:8" x14ac:dyDescent="0.3">
      <c r="A741" s="31"/>
      <c r="B741" s="39"/>
      <c r="C741" s="32"/>
      <c r="D741" s="32"/>
      <c r="G741" s="32"/>
      <c r="H741" s="32"/>
    </row>
    <row r="742" spans="1:8" x14ac:dyDescent="0.3">
      <c r="A742" s="31"/>
      <c r="B742" s="39"/>
      <c r="C742" s="32"/>
      <c r="D742" s="32"/>
      <c r="G742" s="32"/>
      <c r="H742" s="32"/>
    </row>
    <row r="743" spans="1:8" x14ac:dyDescent="0.3">
      <c r="A743" s="31"/>
      <c r="B743" s="39"/>
      <c r="C743" s="32"/>
      <c r="D743" s="32"/>
      <c r="G743" s="32"/>
      <c r="H743" s="32"/>
    </row>
    <row r="744" spans="1:8" x14ac:dyDescent="0.3">
      <c r="A744" s="31"/>
      <c r="B744" s="39"/>
      <c r="C744" s="32"/>
      <c r="D744" s="32"/>
      <c r="G744" s="32"/>
      <c r="H744" s="32"/>
    </row>
    <row r="745" spans="1:8" x14ac:dyDescent="0.3">
      <c r="A745" s="31"/>
      <c r="B745" s="39"/>
      <c r="C745" s="32"/>
      <c r="D745" s="32"/>
      <c r="G745" s="32"/>
      <c r="H745" s="32"/>
    </row>
    <row r="746" spans="1:8" x14ac:dyDescent="0.3">
      <c r="A746" s="31"/>
      <c r="B746" s="39"/>
      <c r="C746" s="32"/>
      <c r="D746" s="32"/>
      <c r="G746" s="32"/>
      <c r="H746" s="32"/>
    </row>
    <row r="747" spans="1:8" x14ac:dyDescent="0.3">
      <c r="A747" s="31"/>
      <c r="B747" s="39"/>
      <c r="C747" s="32"/>
      <c r="D747" s="32"/>
      <c r="G747" s="32"/>
      <c r="H747" s="32"/>
    </row>
    <row r="748" spans="1:8" x14ac:dyDescent="0.3">
      <c r="A748" s="31"/>
      <c r="B748" s="39"/>
      <c r="C748" s="32"/>
      <c r="D748" s="32"/>
      <c r="G748" s="32"/>
      <c r="H748" s="32"/>
    </row>
    <row r="749" spans="1:8" x14ac:dyDescent="0.3">
      <c r="A749" s="31"/>
      <c r="B749" s="39"/>
      <c r="C749" s="32"/>
      <c r="D749" s="32"/>
      <c r="G749" s="32"/>
      <c r="H749" s="32"/>
    </row>
    <row r="750" spans="1:8" x14ac:dyDescent="0.3">
      <c r="A750" s="31"/>
      <c r="B750" s="39"/>
      <c r="C750" s="32"/>
      <c r="D750" s="32"/>
      <c r="G750" s="32"/>
      <c r="H750" s="32"/>
    </row>
    <row r="751" spans="1:8" x14ac:dyDescent="0.3">
      <c r="A751" s="31"/>
      <c r="B751" s="39"/>
      <c r="C751" s="32"/>
      <c r="D751" s="32"/>
      <c r="G751" s="32"/>
      <c r="H751" s="32"/>
    </row>
    <row r="752" spans="1:8" x14ac:dyDescent="0.3">
      <c r="A752" s="31"/>
      <c r="B752" s="39"/>
      <c r="C752" s="32"/>
      <c r="D752" s="32"/>
      <c r="G752" s="32"/>
      <c r="H752" s="32"/>
    </row>
    <row r="753" spans="1:8" x14ac:dyDescent="0.3">
      <c r="A753" s="31"/>
      <c r="B753" s="39"/>
      <c r="C753" s="32"/>
      <c r="D753" s="32"/>
      <c r="G753" s="32"/>
      <c r="H753" s="32"/>
    </row>
    <row r="754" spans="1:8" x14ac:dyDescent="0.3">
      <c r="A754" s="31"/>
      <c r="B754" s="39"/>
      <c r="C754" s="32"/>
      <c r="D754" s="32"/>
      <c r="G754" s="32"/>
      <c r="H754" s="32"/>
    </row>
    <row r="755" spans="1:8" x14ac:dyDescent="0.3">
      <c r="A755" s="31"/>
      <c r="B755" s="39"/>
      <c r="C755" s="32"/>
      <c r="D755" s="32"/>
      <c r="G755" s="32"/>
      <c r="H755" s="32"/>
    </row>
    <row r="756" spans="1:8" x14ac:dyDescent="0.3">
      <c r="A756" s="31"/>
      <c r="B756" s="39"/>
      <c r="C756" s="32"/>
      <c r="D756" s="32"/>
      <c r="G756" s="32"/>
      <c r="H756" s="32"/>
    </row>
    <row r="757" spans="1:8" x14ac:dyDescent="0.3">
      <c r="A757" s="31"/>
      <c r="B757" s="39"/>
      <c r="C757" s="32"/>
      <c r="D757" s="32"/>
      <c r="G757" s="32"/>
      <c r="H757" s="32"/>
    </row>
    <row r="758" spans="1:8" x14ac:dyDescent="0.3">
      <c r="A758" s="31"/>
      <c r="B758" s="39"/>
      <c r="C758" s="32"/>
      <c r="D758" s="32"/>
      <c r="G758" s="32"/>
      <c r="H758" s="32"/>
    </row>
    <row r="759" spans="1:8" x14ac:dyDescent="0.3">
      <c r="A759" s="31"/>
      <c r="B759" s="39"/>
      <c r="C759" s="32"/>
      <c r="D759" s="32"/>
      <c r="G759" s="32"/>
      <c r="H759" s="32"/>
    </row>
    <row r="760" spans="1:8" x14ac:dyDescent="0.3">
      <c r="A760" s="31"/>
      <c r="B760" s="39"/>
      <c r="C760" s="32"/>
      <c r="D760" s="32"/>
      <c r="G760" s="32"/>
      <c r="H760" s="32"/>
    </row>
    <row r="761" spans="1:8" x14ac:dyDescent="0.3">
      <c r="A761" s="31"/>
      <c r="B761" s="39"/>
      <c r="C761" s="32"/>
      <c r="D761" s="32"/>
      <c r="G761" s="32"/>
      <c r="H761" s="32"/>
    </row>
    <row r="762" spans="1:8" x14ac:dyDescent="0.3">
      <c r="A762" s="31"/>
      <c r="B762" s="39"/>
      <c r="C762" s="32"/>
      <c r="D762" s="32"/>
      <c r="G762" s="32"/>
      <c r="H762" s="32"/>
    </row>
    <row r="763" spans="1:8" x14ac:dyDescent="0.3">
      <c r="A763" s="31"/>
      <c r="B763" s="39"/>
      <c r="C763" s="32"/>
      <c r="D763" s="32"/>
      <c r="G763" s="32"/>
      <c r="H763" s="32"/>
    </row>
    <row r="764" spans="1:8" x14ac:dyDescent="0.3">
      <c r="A764" s="31"/>
      <c r="B764" s="39"/>
      <c r="C764" s="32"/>
      <c r="D764" s="32"/>
      <c r="G764" s="32"/>
      <c r="H764" s="32"/>
    </row>
    <row r="765" spans="1:8" x14ac:dyDescent="0.3">
      <c r="A765" s="31"/>
      <c r="B765" s="39"/>
      <c r="C765" s="32"/>
      <c r="D765" s="32"/>
      <c r="G765" s="32"/>
      <c r="H765" s="32"/>
    </row>
    <row r="766" spans="1:8" x14ac:dyDescent="0.3">
      <c r="A766" s="31"/>
      <c r="B766" s="39"/>
      <c r="C766" s="32"/>
      <c r="D766" s="32"/>
      <c r="G766" s="32"/>
      <c r="H766" s="32"/>
    </row>
    <row r="767" spans="1:8" x14ac:dyDescent="0.3">
      <c r="A767" s="31"/>
      <c r="B767" s="39"/>
      <c r="C767" s="32"/>
      <c r="D767" s="32"/>
      <c r="G767" s="32"/>
      <c r="H767" s="32"/>
    </row>
    <row r="768" spans="1:8" x14ac:dyDescent="0.3">
      <c r="A768" s="31"/>
      <c r="B768" s="39"/>
      <c r="C768" s="32"/>
      <c r="D768" s="32"/>
      <c r="G768" s="32"/>
      <c r="H768" s="32"/>
    </row>
    <row r="769" spans="1:8" x14ac:dyDescent="0.3">
      <c r="A769" s="31"/>
      <c r="B769" s="39"/>
      <c r="C769" s="32"/>
      <c r="D769" s="32"/>
      <c r="G769" s="32"/>
      <c r="H769" s="32"/>
    </row>
    <row r="770" spans="1:8" x14ac:dyDescent="0.3">
      <c r="A770" s="31"/>
      <c r="B770" s="39"/>
      <c r="C770" s="32"/>
      <c r="D770" s="32"/>
      <c r="G770" s="32"/>
      <c r="H770" s="32"/>
    </row>
    <row r="771" spans="1:8" x14ac:dyDescent="0.3">
      <c r="A771" s="31"/>
      <c r="B771" s="39"/>
      <c r="C771" s="32"/>
      <c r="D771" s="32"/>
      <c r="G771" s="32"/>
      <c r="H771" s="32"/>
    </row>
    <row r="772" spans="1:8" x14ac:dyDescent="0.3">
      <c r="A772" s="31"/>
      <c r="B772" s="39"/>
      <c r="C772" s="32"/>
      <c r="D772" s="32"/>
      <c r="G772" s="32"/>
      <c r="H772" s="32"/>
    </row>
    <row r="773" spans="1:8" x14ac:dyDescent="0.3">
      <c r="A773" s="31"/>
      <c r="B773" s="39"/>
      <c r="C773" s="32"/>
      <c r="D773" s="32"/>
      <c r="G773" s="32"/>
      <c r="H773" s="32"/>
    </row>
    <row r="774" spans="1:8" x14ac:dyDescent="0.3">
      <c r="A774" s="31"/>
      <c r="B774" s="39"/>
      <c r="C774" s="32"/>
      <c r="D774" s="32"/>
      <c r="G774" s="32"/>
      <c r="H774" s="32"/>
    </row>
    <row r="775" spans="1:8" x14ac:dyDescent="0.3">
      <c r="A775" s="31"/>
      <c r="B775" s="39"/>
      <c r="C775" s="32"/>
      <c r="D775" s="32"/>
      <c r="G775" s="32"/>
      <c r="H775" s="32"/>
    </row>
    <row r="776" spans="1:8" x14ac:dyDescent="0.3">
      <c r="A776" s="31"/>
      <c r="B776" s="39"/>
      <c r="C776" s="32"/>
      <c r="D776" s="32"/>
      <c r="G776" s="32"/>
      <c r="H776" s="32"/>
    </row>
    <row r="777" spans="1:8" x14ac:dyDescent="0.3">
      <c r="A777" s="31"/>
      <c r="B777" s="39"/>
      <c r="C777" s="32"/>
      <c r="D777" s="32"/>
      <c r="G777" s="32"/>
      <c r="H777" s="32"/>
    </row>
    <row r="778" spans="1:8" x14ac:dyDescent="0.3">
      <c r="A778" s="31"/>
      <c r="B778" s="39"/>
      <c r="C778" s="32"/>
      <c r="D778" s="32"/>
      <c r="G778" s="32"/>
      <c r="H778" s="32"/>
    </row>
    <row r="779" spans="1:8" x14ac:dyDescent="0.3">
      <c r="A779" s="31"/>
      <c r="B779" s="39"/>
      <c r="C779" s="32"/>
      <c r="D779" s="32"/>
      <c r="G779" s="32"/>
      <c r="H779" s="32"/>
    </row>
    <row r="780" spans="1:8" x14ac:dyDescent="0.3">
      <c r="A780" s="31"/>
      <c r="B780" s="39"/>
      <c r="C780" s="32"/>
      <c r="D780" s="32"/>
      <c r="G780" s="32"/>
      <c r="H780" s="32"/>
    </row>
    <row r="781" spans="1:8" x14ac:dyDescent="0.3">
      <c r="A781" s="31"/>
      <c r="B781" s="39"/>
      <c r="C781" s="32"/>
      <c r="D781" s="32"/>
      <c r="G781" s="32"/>
      <c r="H781" s="32"/>
    </row>
    <row r="782" spans="1:8" x14ac:dyDescent="0.3">
      <c r="A782" s="31"/>
      <c r="B782" s="39"/>
      <c r="C782" s="32"/>
      <c r="D782" s="32"/>
      <c r="G782" s="32"/>
      <c r="H782" s="32"/>
    </row>
    <row r="783" spans="1:8" x14ac:dyDescent="0.3">
      <c r="A783" s="31"/>
      <c r="B783" s="39"/>
      <c r="C783" s="32"/>
      <c r="D783" s="32"/>
      <c r="G783" s="32"/>
      <c r="H783" s="32"/>
    </row>
    <row r="784" spans="1:8" x14ac:dyDescent="0.3">
      <c r="A784" s="31"/>
      <c r="B784" s="39"/>
      <c r="C784" s="32"/>
      <c r="D784" s="32"/>
      <c r="G784" s="32"/>
      <c r="H784" s="32"/>
    </row>
    <row r="785" spans="1:8" x14ac:dyDescent="0.3">
      <c r="A785" s="31"/>
      <c r="B785" s="39"/>
      <c r="C785" s="32"/>
      <c r="D785" s="32"/>
      <c r="G785" s="32"/>
      <c r="H785" s="32"/>
    </row>
    <row r="786" spans="1:8" x14ac:dyDescent="0.3">
      <c r="A786" s="31"/>
      <c r="B786" s="39"/>
      <c r="C786" s="32"/>
      <c r="D786" s="32"/>
      <c r="G786" s="32"/>
      <c r="H786" s="32"/>
    </row>
    <row r="787" spans="1:8" x14ac:dyDescent="0.3">
      <c r="A787" s="31"/>
      <c r="B787" s="39"/>
      <c r="C787" s="32"/>
      <c r="D787" s="32"/>
      <c r="G787" s="32"/>
      <c r="H787" s="32"/>
    </row>
    <row r="788" spans="1:8" x14ac:dyDescent="0.3">
      <c r="A788" s="31"/>
      <c r="B788" s="39"/>
      <c r="C788" s="32"/>
      <c r="D788" s="32"/>
      <c r="G788" s="32"/>
      <c r="H788" s="32"/>
    </row>
    <row r="789" spans="1:8" x14ac:dyDescent="0.3">
      <c r="A789" s="31"/>
      <c r="B789" s="39"/>
      <c r="C789" s="32"/>
      <c r="D789" s="32"/>
      <c r="G789" s="32"/>
      <c r="H789" s="32"/>
    </row>
    <row r="790" spans="1:8" x14ac:dyDescent="0.3">
      <c r="A790" s="31"/>
      <c r="B790" s="39"/>
      <c r="C790" s="32"/>
      <c r="D790" s="32"/>
      <c r="G790" s="32"/>
      <c r="H790" s="32"/>
    </row>
    <row r="791" spans="1:8" x14ac:dyDescent="0.3">
      <c r="A791" s="31"/>
      <c r="B791" s="39"/>
      <c r="C791" s="32"/>
      <c r="D791" s="32"/>
      <c r="G791" s="32"/>
      <c r="H791" s="32"/>
    </row>
    <row r="792" spans="1:8" x14ac:dyDescent="0.3">
      <c r="A792" s="31"/>
      <c r="B792" s="39"/>
      <c r="C792" s="32"/>
      <c r="D792" s="32"/>
      <c r="G792" s="32"/>
      <c r="H792" s="32"/>
    </row>
    <row r="793" spans="1:8" x14ac:dyDescent="0.3">
      <c r="A793" s="31"/>
      <c r="B793" s="39"/>
      <c r="C793" s="32"/>
      <c r="D793" s="32"/>
      <c r="G793" s="32"/>
      <c r="H793" s="32"/>
    </row>
    <row r="794" spans="1:8" x14ac:dyDescent="0.3">
      <c r="A794" s="31"/>
      <c r="B794" s="39"/>
      <c r="C794" s="32"/>
      <c r="D794" s="32"/>
      <c r="G794" s="32"/>
      <c r="H794" s="32"/>
    </row>
    <row r="795" spans="1:8" x14ac:dyDescent="0.3">
      <c r="A795" s="31"/>
      <c r="B795" s="39"/>
      <c r="C795" s="32"/>
      <c r="D795" s="32"/>
      <c r="G795" s="32"/>
      <c r="H795" s="32"/>
    </row>
    <row r="796" spans="1:8" x14ac:dyDescent="0.3">
      <c r="A796" s="31"/>
      <c r="B796" s="39"/>
      <c r="C796" s="32"/>
      <c r="D796" s="32"/>
      <c r="G796" s="32"/>
      <c r="H796" s="32"/>
    </row>
    <row r="797" spans="1:8" x14ac:dyDescent="0.3">
      <c r="A797" s="31"/>
      <c r="B797" s="39"/>
      <c r="C797" s="32"/>
      <c r="D797" s="32"/>
      <c r="G797" s="32"/>
      <c r="H797" s="32"/>
    </row>
    <row r="798" spans="1:8" x14ac:dyDescent="0.3">
      <c r="A798" s="31"/>
      <c r="B798" s="39"/>
      <c r="C798" s="32"/>
      <c r="D798" s="32"/>
      <c r="G798" s="32"/>
      <c r="H798" s="32"/>
    </row>
    <row r="799" spans="1:8" x14ac:dyDescent="0.3">
      <c r="A799" s="31"/>
      <c r="B799" s="39"/>
      <c r="C799" s="32"/>
      <c r="D799" s="32"/>
      <c r="G799" s="32"/>
      <c r="H799" s="32"/>
    </row>
    <row r="800" spans="1:8" x14ac:dyDescent="0.3">
      <c r="A800" s="31"/>
      <c r="B800" s="39"/>
      <c r="C800" s="32"/>
      <c r="D800" s="32"/>
      <c r="G800" s="32"/>
      <c r="H800" s="32"/>
    </row>
    <row r="801" spans="1:8" x14ac:dyDescent="0.3">
      <c r="A801" s="31"/>
      <c r="B801" s="39"/>
      <c r="C801" s="32"/>
      <c r="D801" s="32"/>
      <c r="G801" s="32"/>
      <c r="H801" s="32"/>
    </row>
    <row r="802" spans="1:8" x14ac:dyDescent="0.3">
      <c r="A802" s="31"/>
      <c r="B802" s="39"/>
      <c r="C802" s="32"/>
      <c r="D802" s="32"/>
      <c r="G802" s="32"/>
      <c r="H802" s="32"/>
    </row>
    <row r="803" spans="1:8" x14ac:dyDescent="0.3">
      <c r="A803" s="31"/>
      <c r="B803" s="39"/>
      <c r="C803" s="32"/>
      <c r="D803" s="32"/>
      <c r="G803" s="32"/>
      <c r="H803" s="32"/>
    </row>
    <row r="804" spans="1:8" x14ac:dyDescent="0.3">
      <c r="A804" s="31"/>
      <c r="B804" s="39"/>
      <c r="C804" s="32"/>
      <c r="D804" s="32"/>
      <c r="G804" s="32"/>
      <c r="H804" s="32"/>
    </row>
    <row r="805" spans="1:8" x14ac:dyDescent="0.3">
      <c r="A805" s="31"/>
      <c r="B805" s="39"/>
      <c r="C805" s="32"/>
      <c r="D805" s="32"/>
      <c r="G805" s="32"/>
      <c r="H805" s="32"/>
    </row>
    <row r="806" spans="1:8" x14ac:dyDescent="0.3">
      <c r="A806" s="31"/>
      <c r="B806" s="39"/>
      <c r="C806" s="32"/>
      <c r="D806" s="32"/>
      <c r="G806" s="32"/>
      <c r="H806" s="32"/>
    </row>
    <row r="807" spans="1:8" x14ac:dyDescent="0.3">
      <c r="A807" s="31"/>
      <c r="B807" s="39"/>
      <c r="C807" s="32"/>
      <c r="D807" s="32"/>
      <c r="G807" s="32"/>
      <c r="H807" s="32"/>
    </row>
    <row r="808" spans="1:8" x14ac:dyDescent="0.3">
      <c r="A808" s="31"/>
      <c r="B808" s="39"/>
      <c r="C808" s="32"/>
      <c r="D808" s="32"/>
      <c r="G808" s="32"/>
      <c r="H808" s="32"/>
    </row>
    <row r="809" spans="1:8" x14ac:dyDescent="0.3">
      <c r="A809" s="31"/>
      <c r="B809" s="39"/>
      <c r="C809" s="32"/>
      <c r="D809" s="32"/>
      <c r="G809" s="32"/>
      <c r="H809" s="32"/>
    </row>
    <row r="810" spans="1:8" x14ac:dyDescent="0.3">
      <c r="A810" s="31"/>
      <c r="B810" s="39"/>
      <c r="C810" s="32"/>
      <c r="D810" s="32"/>
      <c r="G810" s="32"/>
      <c r="H810" s="32"/>
    </row>
    <row r="811" spans="1:8" x14ac:dyDescent="0.3">
      <c r="A811" s="31"/>
      <c r="B811" s="39"/>
      <c r="C811" s="32"/>
      <c r="D811" s="32"/>
      <c r="G811" s="32"/>
      <c r="H811" s="32"/>
    </row>
    <row r="812" spans="1:8" x14ac:dyDescent="0.3">
      <c r="A812" s="31"/>
      <c r="B812" s="39"/>
      <c r="C812" s="32"/>
      <c r="D812" s="32"/>
      <c r="G812" s="32"/>
      <c r="H812" s="32"/>
    </row>
    <row r="813" spans="1:8" x14ac:dyDescent="0.3">
      <c r="A813" s="31"/>
      <c r="B813" s="39"/>
      <c r="C813" s="32"/>
      <c r="D813" s="32"/>
      <c r="G813" s="32"/>
      <c r="H813" s="32"/>
    </row>
    <row r="814" spans="1:8" x14ac:dyDescent="0.3">
      <c r="A814" s="31"/>
      <c r="B814" s="39"/>
      <c r="C814" s="32"/>
      <c r="D814" s="32"/>
      <c r="G814" s="32"/>
      <c r="H814" s="32"/>
    </row>
    <row r="815" spans="1:8" x14ac:dyDescent="0.3">
      <c r="A815" s="31"/>
      <c r="B815" s="39"/>
      <c r="C815" s="32"/>
      <c r="D815" s="32"/>
      <c r="G815" s="32"/>
      <c r="H815" s="32"/>
    </row>
    <row r="816" spans="1:8" x14ac:dyDescent="0.3">
      <c r="A816" s="31"/>
      <c r="B816" s="39"/>
      <c r="C816" s="32"/>
      <c r="D816" s="32"/>
      <c r="G816" s="32"/>
      <c r="H816" s="32"/>
    </row>
    <row r="817" spans="1:8" x14ac:dyDescent="0.3">
      <c r="A817" s="31"/>
      <c r="B817" s="39"/>
      <c r="C817" s="32"/>
      <c r="D817" s="32"/>
      <c r="G817" s="32"/>
      <c r="H817" s="32"/>
    </row>
    <row r="818" spans="1:8" x14ac:dyDescent="0.3">
      <c r="A818" s="31"/>
      <c r="B818" s="39"/>
      <c r="C818" s="32"/>
      <c r="D818" s="32"/>
      <c r="G818" s="32"/>
      <c r="H818" s="32"/>
    </row>
    <row r="819" spans="1:8" x14ac:dyDescent="0.3">
      <c r="A819" s="31"/>
      <c r="B819" s="39"/>
      <c r="C819" s="32"/>
      <c r="D819" s="32"/>
      <c r="G819" s="32"/>
      <c r="H819" s="32"/>
    </row>
    <row r="820" spans="1:8" x14ac:dyDescent="0.3">
      <c r="A820" s="31"/>
      <c r="B820" s="39"/>
      <c r="C820" s="32"/>
      <c r="D820" s="32"/>
      <c r="G820" s="32"/>
      <c r="H820" s="32"/>
    </row>
    <row r="821" spans="1:8" x14ac:dyDescent="0.3">
      <c r="A821" s="31"/>
      <c r="B821" s="39"/>
      <c r="C821" s="32"/>
      <c r="D821" s="32"/>
      <c r="G821" s="32"/>
      <c r="H821" s="32"/>
    </row>
    <row r="822" spans="1:8" x14ac:dyDescent="0.3">
      <c r="A822" s="31"/>
      <c r="B822" s="39"/>
      <c r="C822" s="32"/>
      <c r="D822" s="32"/>
      <c r="G822" s="32"/>
      <c r="H822" s="32"/>
    </row>
    <row r="823" spans="1:8" x14ac:dyDescent="0.3">
      <c r="A823" s="31"/>
      <c r="B823" s="39"/>
      <c r="C823" s="32"/>
      <c r="D823" s="32"/>
      <c r="G823" s="32"/>
      <c r="H823" s="32"/>
    </row>
    <row r="824" spans="1:8" x14ac:dyDescent="0.3">
      <c r="A824" s="31"/>
      <c r="B824" s="39"/>
      <c r="C824" s="32"/>
      <c r="D824" s="32"/>
      <c r="G824" s="32"/>
      <c r="H824" s="32"/>
    </row>
    <row r="825" spans="1:8" x14ac:dyDescent="0.3">
      <c r="A825" s="31"/>
      <c r="B825" s="39"/>
      <c r="C825" s="32"/>
      <c r="D825" s="32"/>
      <c r="G825" s="32"/>
      <c r="H825" s="32"/>
    </row>
    <row r="826" spans="1:8" x14ac:dyDescent="0.3">
      <c r="A826" s="31"/>
      <c r="B826" s="39"/>
      <c r="C826" s="32"/>
      <c r="D826" s="32"/>
      <c r="G826" s="32"/>
      <c r="H826" s="32"/>
    </row>
    <row r="827" spans="1:8" x14ac:dyDescent="0.3">
      <c r="A827" s="31"/>
      <c r="B827" s="39"/>
      <c r="C827" s="32"/>
      <c r="D827" s="32"/>
      <c r="G827" s="32"/>
      <c r="H827" s="32"/>
    </row>
    <row r="828" spans="1:8" x14ac:dyDescent="0.3">
      <c r="A828" s="31"/>
      <c r="B828" s="39"/>
      <c r="C828" s="32"/>
      <c r="D828" s="32"/>
      <c r="G828" s="32"/>
      <c r="H828" s="32"/>
    </row>
    <row r="829" spans="1:8" x14ac:dyDescent="0.3">
      <c r="A829" s="31"/>
      <c r="B829" s="39"/>
      <c r="C829" s="32"/>
      <c r="D829" s="32"/>
      <c r="G829" s="32"/>
      <c r="H829" s="32"/>
    </row>
    <row r="830" spans="1:8" x14ac:dyDescent="0.3">
      <c r="A830" s="31"/>
      <c r="B830" s="39"/>
      <c r="C830" s="32"/>
      <c r="D830" s="32"/>
      <c r="G830" s="32"/>
      <c r="H830" s="32"/>
    </row>
    <row r="831" spans="1:8" x14ac:dyDescent="0.3">
      <c r="A831" s="31"/>
      <c r="B831" s="39"/>
      <c r="C831" s="32"/>
      <c r="D831" s="32"/>
      <c r="G831" s="32"/>
      <c r="H831" s="32"/>
    </row>
    <row r="832" spans="1:8" x14ac:dyDescent="0.3">
      <c r="A832" s="31"/>
      <c r="B832" s="39"/>
      <c r="C832" s="32"/>
      <c r="D832" s="32"/>
      <c r="G832" s="32"/>
      <c r="H832" s="32"/>
    </row>
    <row r="833" spans="1:8" x14ac:dyDescent="0.3">
      <c r="A833" s="31"/>
      <c r="B833" s="39"/>
      <c r="C833" s="32"/>
      <c r="D833" s="32"/>
      <c r="G833" s="32"/>
      <c r="H833" s="32"/>
    </row>
    <row r="834" spans="1:8" x14ac:dyDescent="0.3">
      <c r="A834" s="31"/>
      <c r="B834" s="39"/>
      <c r="C834" s="32"/>
      <c r="D834" s="32"/>
      <c r="G834" s="32"/>
      <c r="H834" s="32"/>
    </row>
    <row r="835" spans="1:8" x14ac:dyDescent="0.3">
      <c r="A835" s="31"/>
      <c r="B835" s="39"/>
      <c r="C835" s="32"/>
      <c r="D835" s="32"/>
      <c r="G835" s="32"/>
      <c r="H835" s="32"/>
    </row>
    <row r="836" spans="1:8" x14ac:dyDescent="0.3">
      <c r="A836" s="31"/>
      <c r="B836" s="39"/>
      <c r="C836" s="32"/>
      <c r="D836" s="32"/>
      <c r="G836" s="32"/>
      <c r="H836" s="32"/>
    </row>
    <row r="837" spans="1:8" x14ac:dyDescent="0.3">
      <c r="A837" s="31"/>
      <c r="B837" s="39"/>
      <c r="C837" s="32"/>
      <c r="D837" s="32"/>
      <c r="G837" s="32"/>
      <c r="H837" s="32"/>
    </row>
    <row r="838" spans="1:8" x14ac:dyDescent="0.3">
      <c r="A838" s="31"/>
      <c r="B838" s="39"/>
      <c r="C838" s="32"/>
      <c r="D838" s="32"/>
      <c r="G838" s="32"/>
      <c r="H838" s="32"/>
    </row>
    <row r="839" spans="1:8" x14ac:dyDescent="0.3">
      <c r="A839" s="31"/>
      <c r="B839" s="39"/>
      <c r="C839" s="32"/>
      <c r="D839" s="32"/>
      <c r="G839" s="32"/>
      <c r="H839" s="32"/>
    </row>
    <row r="840" spans="1:8" x14ac:dyDescent="0.3">
      <c r="A840" s="31"/>
      <c r="B840" s="39"/>
      <c r="C840" s="32"/>
      <c r="D840" s="32"/>
      <c r="G840" s="32"/>
      <c r="H840" s="32"/>
    </row>
    <row r="841" spans="1:8" x14ac:dyDescent="0.3">
      <c r="A841" s="31"/>
      <c r="B841" s="39"/>
      <c r="C841" s="32"/>
      <c r="D841" s="32"/>
      <c r="G841" s="32"/>
      <c r="H841" s="32"/>
    </row>
    <row r="842" spans="1:8" x14ac:dyDescent="0.3">
      <c r="A842" s="31"/>
      <c r="B842" s="39"/>
      <c r="C842" s="32"/>
      <c r="D842" s="32"/>
      <c r="G842" s="32"/>
      <c r="H842" s="32"/>
    </row>
    <row r="843" spans="1:8" x14ac:dyDescent="0.3">
      <c r="A843" s="31"/>
      <c r="B843" s="39"/>
      <c r="C843" s="32"/>
      <c r="D843" s="32"/>
      <c r="G843" s="32"/>
      <c r="H843" s="32"/>
    </row>
    <row r="844" spans="1:8" x14ac:dyDescent="0.3">
      <c r="A844" s="31"/>
      <c r="B844" s="39"/>
      <c r="C844" s="32"/>
      <c r="D844" s="32"/>
      <c r="G844" s="32"/>
      <c r="H844" s="32"/>
    </row>
    <row r="845" spans="1:8" x14ac:dyDescent="0.3">
      <c r="A845" s="31"/>
      <c r="B845" s="39"/>
      <c r="C845" s="32"/>
      <c r="D845" s="32"/>
      <c r="G845" s="32"/>
      <c r="H845" s="32"/>
    </row>
    <row r="846" spans="1:8" x14ac:dyDescent="0.3">
      <c r="A846" s="31"/>
      <c r="B846" s="39"/>
      <c r="C846" s="32"/>
      <c r="D846" s="32"/>
      <c r="G846" s="32"/>
      <c r="H846" s="32"/>
    </row>
    <row r="847" spans="1:8" x14ac:dyDescent="0.3">
      <c r="A847" s="31"/>
      <c r="B847" s="39"/>
      <c r="C847" s="32"/>
      <c r="D847" s="32"/>
      <c r="G847" s="32"/>
      <c r="H847" s="32"/>
    </row>
    <row r="848" spans="1:8" x14ac:dyDescent="0.3">
      <c r="A848" s="31"/>
      <c r="B848" s="39"/>
      <c r="C848" s="32"/>
      <c r="D848" s="32"/>
      <c r="G848" s="32"/>
      <c r="H848" s="32"/>
    </row>
    <row r="849" spans="1:8" x14ac:dyDescent="0.3">
      <c r="A849" s="31"/>
      <c r="B849" s="39"/>
      <c r="C849" s="32"/>
      <c r="D849" s="32"/>
      <c r="G849" s="32"/>
      <c r="H849" s="32"/>
    </row>
    <row r="850" spans="1:8" x14ac:dyDescent="0.3">
      <c r="A850" s="31"/>
      <c r="B850" s="39"/>
      <c r="C850" s="32"/>
      <c r="D850" s="32"/>
      <c r="G850" s="32"/>
      <c r="H850" s="32"/>
    </row>
    <row r="851" spans="1:8" x14ac:dyDescent="0.3">
      <c r="A851" s="31"/>
      <c r="B851" s="39"/>
      <c r="C851" s="32"/>
      <c r="D851" s="32"/>
      <c r="G851" s="32"/>
      <c r="H851" s="32"/>
    </row>
    <row r="852" spans="1:8" x14ac:dyDescent="0.3">
      <c r="A852" s="31"/>
      <c r="B852" s="39"/>
      <c r="C852" s="32"/>
      <c r="D852" s="32"/>
      <c r="G852" s="32"/>
      <c r="H852" s="32"/>
    </row>
    <row r="853" spans="1:8" x14ac:dyDescent="0.3">
      <c r="A853" s="31"/>
      <c r="B853" s="39"/>
      <c r="C853" s="32"/>
      <c r="D853" s="32"/>
      <c r="G853" s="32"/>
      <c r="H853" s="32"/>
    </row>
    <row r="854" spans="1:8" x14ac:dyDescent="0.3">
      <c r="A854" s="31"/>
      <c r="B854" s="39"/>
      <c r="C854" s="32"/>
      <c r="D854" s="32"/>
      <c r="G854" s="32"/>
      <c r="H854" s="32"/>
    </row>
    <row r="855" spans="1:8" x14ac:dyDescent="0.3">
      <c r="A855" s="31"/>
      <c r="B855" s="39"/>
      <c r="C855" s="32"/>
      <c r="D855" s="32"/>
      <c r="G855" s="32"/>
      <c r="H855" s="32"/>
    </row>
    <row r="856" spans="1:8" x14ac:dyDescent="0.3">
      <c r="A856" s="31"/>
      <c r="B856" s="39"/>
      <c r="C856" s="32"/>
      <c r="D856" s="32"/>
      <c r="G856" s="32"/>
      <c r="H856" s="32"/>
    </row>
    <row r="857" spans="1:8" x14ac:dyDescent="0.3">
      <c r="A857" s="31"/>
      <c r="B857" s="39"/>
      <c r="C857" s="32"/>
      <c r="D857" s="32"/>
      <c r="G857" s="32"/>
      <c r="H857" s="32"/>
    </row>
    <row r="858" spans="1:8" x14ac:dyDescent="0.3">
      <c r="A858" s="31"/>
      <c r="B858" s="39"/>
      <c r="C858" s="32"/>
      <c r="D858" s="32"/>
      <c r="G858" s="32"/>
      <c r="H858" s="32"/>
    </row>
    <row r="859" spans="1:8" x14ac:dyDescent="0.3">
      <c r="A859" s="31"/>
      <c r="B859" s="39"/>
      <c r="C859" s="32"/>
      <c r="D859" s="32"/>
      <c r="G859" s="32"/>
      <c r="H859" s="32"/>
    </row>
    <row r="860" spans="1:8" x14ac:dyDescent="0.3">
      <c r="A860" s="31"/>
      <c r="B860" s="39"/>
      <c r="C860" s="32"/>
      <c r="D860" s="32"/>
      <c r="G860" s="32"/>
      <c r="H860" s="32"/>
    </row>
    <row r="861" spans="1:8" x14ac:dyDescent="0.3">
      <c r="A861" s="31"/>
      <c r="B861" s="39"/>
      <c r="C861" s="32"/>
      <c r="D861" s="32"/>
      <c r="G861" s="32"/>
      <c r="H861" s="32"/>
    </row>
    <row r="862" spans="1:8" x14ac:dyDescent="0.3">
      <c r="A862" s="31"/>
      <c r="B862" s="39"/>
      <c r="C862" s="32"/>
      <c r="D862" s="32"/>
      <c r="G862" s="32"/>
      <c r="H862" s="32"/>
    </row>
    <row r="863" spans="1:8" x14ac:dyDescent="0.3">
      <c r="A863" s="31"/>
      <c r="B863" s="39"/>
      <c r="C863" s="32"/>
      <c r="D863" s="32"/>
      <c r="G863" s="32"/>
      <c r="H863" s="32"/>
    </row>
    <row r="864" spans="1:8" x14ac:dyDescent="0.3">
      <c r="A864" s="31"/>
      <c r="B864" s="39"/>
      <c r="C864" s="32"/>
      <c r="D864" s="32"/>
      <c r="G864" s="32"/>
      <c r="H864" s="32"/>
    </row>
    <row r="865" spans="1:8" x14ac:dyDescent="0.3">
      <c r="A865" s="31"/>
      <c r="B865" s="39"/>
      <c r="C865" s="32"/>
      <c r="D865" s="32"/>
      <c r="G865" s="32"/>
      <c r="H865" s="32"/>
    </row>
    <row r="866" spans="1:8" x14ac:dyDescent="0.3">
      <c r="A866" s="31"/>
      <c r="B866" s="39"/>
      <c r="C866" s="32"/>
      <c r="D866" s="32"/>
      <c r="G866" s="32"/>
      <c r="H866" s="32"/>
    </row>
    <row r="867" spans="1:8" x14ac:dyDescent="0.3">
      <c r="A867" s="31"/>
      <c r="B867" s="39"/>
      <c r="C867" s="32"/>
      <c r="D867" s="32"/>
      <c r="G867" s="32"/>
      <c r="H867" s="32"/>
    </row>
    <row r="868" spans="1:8" x14ac:dyDescent="0.3">
      <c r="A868" s="31"/>
      <c r="B868" s="39"/>
      <c r="C868" s="32"/>
      <c r="D868" s="32"/>
      <c r="G868" s="32"/>
      <c r="H868" s="32"/>
    </row>
    <row r="869" spans="1:8" x14ac:dyDescent="0.3">
      <c r="A869" s="31"/>
      <c r="B869" s="39"/>
      <c r="C869" s="32"/>
      <c r="D869" s="32"/>
      <c r="G869" s="32"/>
      <c r="H869" s="32"/>
    </row>
    <row r="870" spans="1:8" x14ac:dyDescent="0.3">
      <c r="A870" s="31"/>
      <c r="B870" s="39"/>
      <c r="C870" s="32"/>
      <c r="D870" s="32"/>
      <c r="G870" s="32"/>
      <c r="H870" s="32"/>
    </row>
    <row r="871" spans="1:8" x14ac:dyDescent="0.3">
      <c r="A871" s="31"/>
      <c r="B871" s="39"/>
      <c r="C871" s="32"/>
      <c r="D871" s="32"/>
      <c r="G871" s="32"/>
      <c r="H871" s="32"/>
    </row>
    <row r="872" spans="1:8" x14ac:dyDescent="0.3">
      <c r="A872" s="31"/>
      <c r="B872" s="39"/>
      <c r="C872" s="32"/>
      <c r="D872" s="32"/>
      <c r="G872" s="32"/>
      <c r="H872" s="32"/>
    </row>
    <row r="873" spans="1:8" x14ac:dyDescent="0.3">
      <c r="A873" s="31"/>
      <c r="B873" s="39"/>
      <c r="C873" s="32"/>
      <c r="D873" s="32"/>
      <c r="G873" s="32"/>
      <c r="H873" s="32"/>
    </row>
    <row r="874" spans="1:8" x14ac:dyDescent="0.3">
      <c r="A874" s="31"/>
      <c r="B874" s="39"/>
      <c r="C874" s="32"/>
      <c r="D874" s="32"/>
      <c r="G874" s="32"/>
      <c r="H874" s="32"/>
    </row>
    <row r="875" spans="1:8" x14ac:dyDescent="0.3">
      <c r="A875" s="31"/>
      <c r="B875" s="39"/>
      <c r="C875" s="32"/>
      <c r="D875" s="32"/>
      <c r="G875" s="32"/>
      <c r="H875" s="32"/>
    </row>
    <row r="876" spans="1:8" x14ac:dyDescent="0.3">
      <c r="A876" s="31"/>
      <c r="B876" s="39"/>
      <c r="C876" s="32"/>
      <c r="D876" s="32"/>
      <c r="G876" s="32"/>
      <c r="H876" s="32"/>
    </row>
    <row r="877" spans="1:8" x14ac:dyDescent="0.3">
      <c r="A877" s="31"/>
      <c r="B877" s="39"/>
      <c r="C877" s="32"/>
      <c r="D877" s="32"/>
      <c r="G877" s="32"/>
      <c r="H877" s="32"/>
    </row>
    <row r="878" spans="1:8" x14ac:dyDescent="0.3">
      <c r="A878" s="31"/>
      <c r="B878" s="39"/>
      <c r="C878" s="32"/>
      <c r="D878" s="32"/>
      <c r="G878" s="32"/>
      <c r="H878" s="32"/>
    </row>
    <row r="879" spans="1:8" x14ac:dyDescent="0.3">
      <c r="A879" s="31"/>
      <c r="B879" s="39"/>
      <c r="C879" s="32"/>
      <c r="D879" s="32"/>
      <c r="G879" s="32"/>
      <c r="H879" s="32"/>
    </row>
    <row r="880" spans="1:8" x14ac:dyDescent="0.3">
      <c r="A880" s="31"/>
      <c r="B880" s="39"/>
      <c r="C880" s="32"/>
      <c r="D880" s="32"/>
      <c r="G880" s="32"/>
      <c r="H880" s="32"/>
    </row>
    <row r="881" spans="1:8" x14ac:dyDescent="0.3">
      <c r="A881" s="31"/>
      <c r="B881" s="39"/>
      <c r="C881" s="32"/>
      <c r="D881" s="32"/>
      <c r="G881" s="32"/>
      <c r="H881" s="32"/>
    </row>
    <row r="882" spans="1:8" x14ac:dyDescent="0.3">
      <c r="A882" s="31"/>
      <c r="B882" s="39"/>
      <c r="C882" s="32"/>
      <c r="D882" s="32"/>
      <c r="G882" s="32"/>
      <c r="H882" s="32"/>
    </row>
    <row r="883" spans="1:8" x14ac:dyDescent="0.3">
      <c r="A883" s="31"/>
      <c r="B883" s="39"/>
      <c r="C883" s="32"/>
      <c r="D883" s="32"/>
      <c r="G883" s="32"/>
      <c r="H883" s="32"/>
    </row>
    <row r="884" spans="1:8" x14ac:dyDescent="0.3">
      <c r="A884" s="31"/>
      <c r="B884" s="39"/>
      <c r="C884" s="32"/>
      <c r="D884" s="32"/>
      <c r="G884" s="32"/>
      <c r="H884" s="32"/>
    </row>
    <row r="885" spans="1:8" x14ac:dyDescent="0.3">
      <c r="A885" s="31"/>
      <c r="B885" s="39"/>
      <c r="C885" s="32"/>
      <c r="D885" s="32"/>
      <c r="G885" s="32"/>
      <c r="H885" s="32"/>
    </row>
    <row r="886" spans="1:8" x14ac:dyDescent="0.3">
      <c r="A886" s="31"/>
      <c r="B886" s="39"/>
      <c r="C886" s="32"/>
      <c r="D886" s="32"/>
      <c r="G886" s="32"/>
      <c r="H886" s="32"/>
    </row>
    <row r="887" spans="1:8" x14ac:dyDescent="0.3">
      <c r="A887" s="31"/>
      <c r="B887" s="39"/>
      <c r="C887" s="32"/>
      <c r="D887" s="32"/>
      <c r="G887" s="32"/>
      <c r="H887" s="32"/>
    </row>
    <row r="888" spans="1:8" x14ac:dyDescent="0.3">
      <c r="A888" s="31"/>
      <c r="B888" s="39"/>
      <c r="C888" s="32"/>
      <c r="D888" s="32"/>
      <c r="G888" s="32"/>
      <c r="H888" s="32"/>
    </row>
    <row r="889" spans="1:8" x14ac:dyDescent="0.3">
      <c r="A889" s="31"/>
      <c r="B889" s="39"/>
      <c r="C889" s="32"/>
      <c r="D889" s="32"/>
      <c r="G889" s="32"/>
      <c r="H889" s="32"/>
    </row>
    <row r="890" spans="1:8" x14ac:dyDescent="0.3">
      <c r="A890" s="31"/>
      <c r="B890" s="39"/>
      <c r="C890" s="32"/>
      <c r="D890" s="32"/>
      <c r="G890" s="32"/>
      <c r="H890" s="32"/>
    </row>
    <row r="891" spans="1:8" x14ac:dyDescent="0.3">
      <c r="A891" s="31"/>
      <c r="B891" s="39"/>
      <c r="C891" s="32"/>
      <c r="D891" s="32"/>
      <c r="G891" s="32"/>
      <c r="H891" s="32"/>
    </row>
    <row r="892" spans="1:8" x14ac:dyDescent="0.3">
      <c r="A892" s="31"/>
      <c r="B892" s="39"/>
      <c r="C892" s="32"/>
      <c r="D892" s="32"/>
      <c r="G892" s="32"/>
      <c r="H892" s="32"/>
    </row>
    <row r="893" spans="1:8" x14ac:dyDescent="0.3">
      <c r="A893" s="31"/>
      <c r="B893" s="39"/>
      <c r="C893" s="32"/>
      <c r="D893" s="32"/>
      <c r="G893" s="32"/>
      <c r="H893" s="32"/>
    </row>
    <row r="894" spans="1:8" x14ac:dyDescent="0.3">
      <c r="A894" s="31"/>
      <c r="B894" s="39"/>
      <c r="C894" s="32"/>
      <c r="D894" s="32"/>
      <c r="G894" s="32"/>
      <c r="H894" s="32"/>
    </row>
    <row r="895" spans="1:8" x14ac:dyDescent="0.3">
      <c r="A895" s="31"/>
      <c r="B895" s="39"/>
      <c r="C895" s="32"/>
      <c r="D895" s="32"/>
      <c r="G895" s="32"/>
      <c r="H895" s="32"/>
    </row>
    <row r="896" spans="1:8" x14ac:dyDescent="0.3">
      <c r="A896" s="31"/>
      <c r="B896" s="39"/>
      <c r="C896" s="32"/>
      <c r="D896" s="32"/>
      <c r="G896" s="32"/>
      <c r="H896" s="32"/>
    </row>
    <row r="897" spans="1:8" x14ac:dyDescent="0.3">
      <c r="A897" s="31"/>
      <c r="B897" s="39"/>
      <c r="C897" s="32"/>
      <c r="D897" s="32"/>
      <c r="G897" s="32"/>
      <c r="H897" s="32"/>
    </row>
    <row r="898" spans="1:8" x14ac:dyDescent="0.3">
      <c r="A898" s="31"/>
      <c r="B898" s="39"/>
      <c r="C898" s="32"/>
      <c r="D898" s="32"/>
      <c r="G898" s="32"/>
      <c r="H898" s="32"/>
    </row>
    <row r="899" spans="1:8" x14ac:dyDescent="0.3">
      <c r="A899" s="31"/>
      <c r="B899" s="39"/>
      <c r="C899" s="32"/>
      <c r="D899" s="32"/>
      <c r="G899" s="32"/>
      <c r="H899" s="32"/>
    </row>
    <row r="900" spans="1:8" x14ac:dyDescent="0.3">
      <c r="A900" s="31"/>
      <c r="B900" s="39"/>
      <c r="C900" s="32"/>
      <c r="D900" s="32"/>
      <c r="G900" s="32"/>
      <c r="H900" s="32"/>
    </row>
    <row r="901" spans="1:8" x14ac:dyDescent="0.3">
      <c r="A901" s="31"/>
      <c r="B901" s="39"/>
      <c r="C901" s="32"/>
      <c r="D901" s="32"/>
      <c r="G901" s="32"/>
      <c r="H901" s="32"/>
    </row>
    <row r="902" spans="1:8" x14ac:dyDescent="0.3">
      <c r="A902" s="31"/>
      <c r="B902" s="39"/>
      <c r="C902" s="32"/>
      <c r="D902" s="32"/>
      <c r="G902" s="32"/>
      <c r="H902" s="32"/>
    </row>
    <row r="903" spans="1:8" x14ac:dyDescent="0.3">
      <c r="A903" s="31"/>
      <c r="B903" s="39"/>
      <c r="C903" s="32"/>
      <c r="D903" s="32"/>
      <c r="G903" s="32"/>
      <c r="H903" s="32"/>
    </row>
    <row r="904" spans="1:8" x14ac:dyDescent="0.3">
      <c r="A904" s="31"/>
      <c r="B904" s="39"/>
      <c r="C904" s="32"/>
      <c r="D904" s="32"/>
      <c r="G904" s="32"/>
      <c r="H904" s="32"/>
    </row>
    <row r="905" spans="1:8" x14ac:dyDescent="0.3">
      <c r="A905" s="31"/>
      <c r="B905" s="39"/>
      <c r="C905" s="32"/>
      <c r="D905" s="32"/>
      <c r="G905" s="32"/>
      <c r="H905" s="32"/>
    </row>
    <row r="906" spans="1:8" x14ac:dyDescent="0.3">
      <c r="A906" s="31"/>
      <c r="B906" s="39"/>
      <c r="C906" s="32"/>
      <c r="D906" s="32"/>
      <c r="G906" s="32"/>
      <c r="H906" s="32"/>
    </row>
    <row r="907" spans="1:8" x14ac:dyDescent="0.3">
      <c r="A907" s="31"/>
      <c r="B907" s="39"/>
      <c r="C907" s="32"/>
      <c r="D907" s="32"/>
      <c r="G907" s="32"/>
      <c r="H907" s="32"/>
    </row>
    <row r="908" spans="1:8" x14ac:dyDescent="0.3">
      <c r="A908" s="31"/>
      <c r="B908" s="39"/>
      <c r="C908" s="32"/>
      <c r="D908" s="32"/>
      <c r="G908" s="32"/>
      <c r="H908" s="32"/>
    </row>
    <row r="909" spans="1:8" x14ac:dyDescent="0.3">
      <c r="A909" s="31"/>
      <c r="B909" s="39"/>
      <c r="C909" s="32"/>
      <c r="D909" s="32"/>
      <c r="G909" s="32"/>
      <c r="H909" s="32"/>
    </row>
    <row r="910" spans="1:8" x14ac:dyDescent="0.3">
      <c r="A910" s="31"/>
      <c r="B910" s="39"/>
      <c r="C910" s="32"/>
      <c r="D910" s="32"/>
      <c r="G910" s="32"/>
      <c r="H910" s="32"/>
    </row>
    <row r="911" spans="1:8" x14ac:dyDescent="0.3">
      <c r="A911" s="31"/>
      <c r="B911" s="39"/>
      <c r="C911" s="32"/>
      <c r="D911" s="32"/>
      <c r="G911" s="32"/>
      <c r="H911" s="32"/>
    </row>
    <row r="912" spans="1:8" x14ac:dyDescent="0.3">
      <c r="A912" s="31"/>
      <c r="B912" s="39"/>
      <c r="C912" s="32"/>
      <c r="D912" s="32"/>
      <c r="G912" s="32"/>
      <c r="H912" s="32"/>
    </row>
    <row r="913" spans="1:8" x14ac:dyDescent="0.3">
      <c r="A913" s="31"/>
      <c r="B913" s="39"/>
      <c r="C913" s="32"/>
      <c r="D913" s="32"/>
      <c r="G913" s="32"/>
      <c r="H913" s="32"/>
    </row>
    <row r="914" spans="1:8" x14ac:dyDescent="0.3">
      <c r="A914" s="31"/>
      <c r="B914" s="39"/>
      <c r="C914" s="32"/>
      <c r="D914" s="32"/>
      <c r="G914" s="32"/>
      <c r="H914" s="32"/>
    </row>
    <row r="915" spans="1:8" x14ac:dyDescent="0.3">
      <c r="A915" s="31"/>
      <c r="B915" s="39"/>
      <c r="C915" s="32"/>
      <c r="D915" s="32"/>
      <c r="G915" s="32"/>
      <c r="H915" s="32"/>
    </row>
    <row r="916" spans="1:8" x14ac:dyDescent="0.3">
      <c r="A916" s="31"/>
      <c r="B916" s="39"/>
      <c r="C916" s="32"/>
      <c r="D916" s="32"/>
      <c r="G916" s="32"/>
      <c r="H916" s="32"/>
    </row>
    <row r="917" spans="1:8" x14ac:dyDescent="0.3">
      <c r="A917" s="31"/>
      <c r="B917" s="39"/>
      <c r="C917" s="32"/>
      <c r="D917" s="32"/>
      <c r="G917" s="32"/>
      <c r="H917" s="32"/>
    </row>
    <row r="918" spans="1:8" x14ac:dyDescent="0.3">
      <c r="A918" s="31"/>
      <c r="B918" s="39"/>
      <c r="C918" s="32"/>
      <c r="D918" s="32"/>
      <c r="G918" s="32"/>
      <c r="H918" s="32"/>
    </row>
    <row r="919" spans="1:8" x14ac:dyDescent="0.3">
      <c r="A919" s="31"/>
      <c r="B919" s="39"/>
      <c r="C919" s="32"/>
      <c r="D919" s="32"/>
      <c r="G919" s="32"/>
      <c r="H919" s="32"/>
    </row>
    <row r="920" spans="1:8" x14ac:dyDescent="0.3">
      <c r="A920" s="31"/>
      <c r="B920" s="39"/>
      <c r="C920" s="32"/>
      <c r="D920" s="32"/>
      <c r="G920" s="32"/>
      <c r="H920" s="32"/>
    </row>
    <row r="921" spans="1:8" x14ac:dyDescent="0.3">
      <c r="A921" s="31"/>
      <c r="B921" s="39"/>
      <c r="C921" s="32"/>
      <c r="D921" s="32"/>
      <c r="G921" s="32"/>
      <c r="H921" s="32"/>
    </row>
    <row r="922" spans="1:8" x14ac:dyDescent="0.3">
      <c r="A922" s="31"/>
      <c r="B922" s="39"/>
      <c r="C922" s="32"/>
      <c r="D922" s="32"/>
      <c r="G922" s="32"/>
      <c r="H922" s="32"/>
    </row>
    <row r="923" spans="1:8" x14ac:dyDescent="0.3">
      <c r="A923" s="31"/>
      <c r="B923" s="39"/>
      <c r="C923" s="32"/>
      <c r="D923" s="32"/>
      <c r="G923" s="32"/>
      <c r="H923" s="32"/>
    </row>
    <row r="924" spans="1:8" x14ac:dyDescent="0.3">
      <c r="A924" s="31"/>
      <c r="B924" s="39"/>
      <c r="C924" s="32"/>
      <c r="D924" s="32"/>
      <c r="G924" s="32"/>
      <c r="H924" s="32"/>
    </row>
    <row r="925" spans="1:8" x14ac:dyDescent="0.3">
      <c r="A925" s="31"/>
      <c r="B925" s="39"/>
      <c r="C925" s="32"/>
      <c r="D925" s="32"/>
      <c r="G925" s="32"/>
      <c r="H925" s="32"/>
    </row>
    <row r="926" spans="1:8" x14ac:dyDescent="0.3">
      <c r="A926" s="31"/>
      <c r="B926" s="39"/>
      <c r="C926" s="32"/>
      <c r="D926" s="32"/>
      <c r="G926" s="32"/>
      <c r="H926" s="32"/>
    </row>
    <row r="927" spans="1:8" x14ac:dyDescent="0.3">
      <c r="A927" s="31"/>
      <c r="B927" s="39"/>
      <c r="C927" s="32"/>
      <c r="D927" s="32"/>
      <c r="G927" s="32"/>
      <c r="H927" s="32"/>
    </row>
    <row r="928" spans="1:8" x14ac:dyDescent="0.3">
      <c r="A928" s="31"/>
      <c r="B928" s="39"/>
      <c r="C928" s="32"/>
      <c r="D928" s="32"/>
      <c r="G928" s="32"/>
      <c r="H928" s="32"/>
    </row>
    <row r="929" spans="1:8" x14ac:dyDescent="0.3">
      <c r="A929" s="31"/>
      <c r="B929" s="39"/>
      <c r="C929" s="32"/>
      <c r="D929" s="32"/>
      <c r="G929" s="32"/>
      <c r="H929" s="32"/>
    </row>
    <row r="930" spans="1:8" x14ac:dyDescent="0.3">
      <c r="A930" s="31"/>
      <c r="B930" s="39"/>
      <c r="C930" s="32"/>
      <c r="D930" s="32"/>
      <c r="G930" s="32"/>
      <c r="H930" s="32"/>
    </row>
    <row r="931" spans="1:8" x14ac:dyDescent="0.3">
      <c r="A931" s="31"/>
      <c r="B931" s="39"/>
      <c r="C931" s="32"/>
      <c r="D931" s="32"/>
      <c r="G931" s="32"/>
      <c r="H931" s="32"/>
    </row>
    <row r="932" spans="1:8" x14ac:dyDescent="0.3">
      <c r="A932" s="31"/>
      <c r="B932" s="39"/>
      <c r="C932" s="32"/>
      <c r="D932" s="32"/>
      <c r="G932" s="32"/>
      <c r="H932" s="32"/>
    </row>
    <row r="933" spans="1:8" x14ac:dyDescent="0.3">
      <c r="A933" s="31"/>
      <c r="B933" s="39"/>
      <c r="C933" s="32"/>
      <c r="D933" s="32"/>
      <c r="G933" s="32"/>
      <c r="H933" s="32"/>
    </row>
    <row r="934" spans="1:8" x14ac:dyDescent="0.3">
      <c r="A934" s="31"/>
      <c r="B934" s="39"/>
      <c r="C934" s="32"/>
      <c r="D934" s="32"/>
      <c r="G934" s="32"/>
      <c r="H934" s="32"/>
    </row>
    <row r="935" spans="1:8" x14ac:dyDescent="0.3">
      <c r="A935" s="31"/>
      <c r="B935" s="39"/>
      <c r="C935" s="32"/>
      <c r="D935" s="32"/>
      <c r="G935" s="32"/>
      <c r="H935" s="32"/>
    </row>
    <row r="936" spans="1:8" x14ac:dyDescent="0.3">
      <c r="A936" s="31"/>
      <c r="B936" s="39"/>
      <c r="C936" s="32"/>
      <c r="D936" s="32"/>
      <c r="G936" s="32"/>
      <c r="H936" s="32"/>
    </row>
    <row r="937" spans="1:8" x14ac:dyDescent="0.3">
      <c r="A937" s="31"/>
      <c r="B937" s="39"/>
      <c r="C937" s="32"/>
      <c r="D937" s="32"/>
      <c r="G937" s="32"/>
      <c r="H937" s="32"/>
    </row>
    <row r="938" spans="1:8" x14ac:dyDescent="0.3">
      <c r="A938" s="31"/>
      <c r="B938" s="39"/>
      <c r="C938" s="32"/>
      <c r="D938" s="32"/>
      <c r="G938" s="32"/>
      <c r="H938" s="32"/>
    </row>
    <row r="939" spans="1:8" x14ac:dyDescent="0.3">
      <c r="A939" s="31"/>
      <c r="B939" s="39"/>
      <c r="C939" s="32"/>
      <c r="D939" s="32"/>
      <c r="G939" s="32"/>
      <c r="H939" s="32"/>
    </row>
    <row r="940" spans="1:8" x14ac:dyDescent="0.3">
      <c r="A940" s="31"/>
      <c r="B940" s="39"/>
      <c r="C940" s="32"/>
      <c r="D940" s="32"/>
      <c r="G940" s="32"/>
      <c r="H940" s="32"/>
    </row>
    <row r="941" spans="1:8" x14ac:dyDescent="0.3">
      <c r="A941" s="31"/>
      <c r="B941" s="39"/>
      <c r="C941" s="32"/>
      <c r="D941" s="32"/>
      <c r="G941" s="32"/>
      <c r="H941" s="32"/>
    </row>
    <row r="942" spans="1:8" x14ac:dyDescent="0.3">
      <c r="A942" s="31"/>
      <c r="B942" s="39"/>
      <c r="C942" s="32"/>
      <c r="D942" s="32"/>
      <c r="G942" s="32"/>
      <c r="H942" s="32"/>
    </row>
    <row r="943" spans="1:8" x14ac:dyDescent="0.3">
      <c r="A943" s="31"/>
      <c r="B943" s="39"/>
      <c r="C943" s="32"/>
      <c r="D943" s="32"/>
      <c r="G943" s="32"/>
      <c r="H943" s="32"/>
    </row>
    <row r="944" spans="1:8" x14ac:dyDescent="0.3">
      <c r="A944" s="31"/>
      <c r="B944" s="39"/>
      <c r="C944" s="32"/>
      <c r="D944" s="32"/>
      <c r="G944" s="32"/>
      <c r="H944" s="32"/>
    </row>
    <row r="945" spans="1:8" x14ac:dyDescent="0.3">
      <c r="A945" s="31"/>
      <c r="B945" s="39"/>
      <c r="C945" s="32"/>
      <c r="D945" s="32"/>
      <c r="G945" s="32"/>
      <c r="H945" s="32"/>
    </row>
    <row r="946" spans="1:8" x14ac:dyDescent="0.3">
      <c r="A946" s="31"/>
      <c r="B946" s="39"/>
      <c r="C946" s="32"/>
      <c r="D946" s="32"/>
      <c r="G946" s="32"/>
      <c r="H946" s="32"/>
    </row>
    <row r="947" spans="1:8" x14ac:dyDescent="0.3">
      <c r="A947" s="31"/>
      <c r="B947" s="39"/>
      <c r="C947" s="32"/>
      <c r="D947" s="32"/>
      <c r="G947" s="32"/>
      <c r="H947" s="32"/>
    </row>
    <row r="948" spans="1:8" x14ac:dyDescent="0.3">
      <c r="A948" s="31"/>
      <c r="B948" s="39"/>
      <c r="C948" s="32"/>
      <c r="D948" s="32"/>
      <c r="G948" s="32"/>
      <c r="H948" s="32"/>
    </row>
    <row r="949" spans="1:8" x14ac:dyDescent="0.3">
      <c r="A949" s="31"/>
      <c r="B949" s="39"/>
      <c r="C949" s="32"/>
      <c r="D949" s="32"/>
      <c r="G949" s="32"/>
      <c r="H949" s="32"/>
    </row>
    <row r="950" spans="1:8" x14ac:dyDescent="0.3">
      <c r="A950" s="31"/>
      <c r="B950" s="39"/>
      <c r="C950" s="32"/>
      <c r="D950" s="32"/>
      <c r="G950" s="32"/>
      <c r="H950" s="32"/>
    </row>
    <row r="951" spans="1:8" x14ac:dyDescent="0.3">
      <c r="A951" s="31"/>
      <c r="B951" s="39"/>
      <c r="C951" s="32"/>
      <c r="D951" s="32"/>
      <c r="G951" s="32"/>
      <c r="H951" s="32"/>
    </row>
    <row r="952" spans="1:8" x14ac:dyDescent="0.3">
      <c r="A952" s="31"/>
      <c r="B952" s="39"/>
      <c r="C952" s="32"/>
      <c r="D952" s="32"/>
      <c r="G952" s="32"/>
      <c r="H952" s="32"/>
    </row>
    <row r="953" spans="1:8" x14ac:dyDescent="0.3">
      <c r="A953" s="31"/>
      <c r="B953" s="39"/>
      <c r="C953" s="32"/>
      <c r="D953" s="32"/>
      <c r="G953" s="32"/>
      <c r="H953" s="32"/>
    </row>
    <row r="954" spans="1:8" x14ac:dyDescent="0.3">
      <c r="A954" s="31"/>
      <c r="B954" s="39"/>
      <c r="C954" s="32"/>
      <c r="D954" s="32"/>
      <c r="G954" s="32"/>
      <c r="H954" s="32"/>
    </row>
    <row r="955" spans="1:8" x14ac:dyDescent="0.3">
      <c r="A955" s="31"/>
      <c r="B955" s="39"/>
      <c r="C955" s="32"/>
      <c r="D955" s="32"/>
      <c r="G955" s="32"/>
      <c r="H955" s="32"/>
    </row>
    <row r="956" spans="1:8" x14ac:dyDescent="0.3">
      <c r="A956" s="31"/>
      <c r="B956" s="39"/>
      <c r="C956" s="32"/>
      <c r="D956" s="32"/>
      <c r="G956" s="32"/>
      <c r="H956" s="32"/>
    </row>
    <row r="957" spans="1:8" x14ac:dyDescent="0.3">
      <c r="A957" s="31"/>
      <c r="B957" s="39"/>
      <c r="C957" s="32"/>
      <c r="D957" s="32"/>
      <c r="G957" s="32"/>
      <c r="H957" s="32"/>
    </row>
    <row r="958" spans="1:8" x14ac:dyDescent="0.3">
      <c r="A958" s="31"/>
      <c r="B958" s="39"/>
      <c r="C958" s="32"/>
      <c r="D958" s="32"/>
      <c r="G958" s="32"/>
      <c r="H958" s="32"/>
    </row>
    <row r="959" spans="1:8" x14ac:dyDescent="0.3">
      <c r="A959" s="31"/>
      <c r="B959" s="39"/>
      <c r="C959" s="32"/>
      <c r="D959" s="32"/>
      <c r="G959" s="32"/>
      <c r="H959" s="32"/>
    </row>
    <row r="960" spans="1:8" x14ac:dyDescent="0.3">
      <c r="A960" s="31"/>
      <c r="B960" s="39"/>
      <c r="C960" s="32"/>
      <c r="D960" s="32"/>
      <c r="G960" s="32"/>
      <c r="H960" s="32"/>
    </row>
    <row r="961" spans="1:8" x14ac:dyDescent="0.3">
      <c r="A961" s="31"/>
      <c r="B961" s="39"/>
      <c r="C961" s="32"/>
      <c r="D961" s="32"/>
      <c r="G961" s="32"/>
      <c r="H961" s="32"/>
    </row>
    <row r="962" spans="1:8" x14ac:dyDescent="0.3">
      <c r="A962" s="31"/>
      <c r="B962" s="39"/>
      <c r="C962" s="32"/>
      <c r="D962" s="32"/>
      <c r="G962" s="32"/>
      <c r="H962" s="32"/>
    </row>
    <row r="963" spans="1:8" x14ac:dyDescent="0.3">
      <c r="A963" s="31"/>
      <c r="B963" s="39"/>
      <c r="C963" s="32"/>
      <c r="D963" s="32"/>
      <c r="G963" s="32"/>
      <c r="H963" s="32"/>
    </row>
    <row r="964" spans="1:8" x14ac:dyDescent="0.3">
      <c r="A964" s="31"/>
      <c r="B964" s="39"/>
      <c r="C964" s="32"/>
      <c r="D964" s="32"/>
      <c r="G964" s="32"/>
      <c r="H964" s="32"/>
    </row>
    <row r="965" spans="1:8" x14ac:dyDescent="0.3">
      <c r="A965" s="31"/>
      <c r="B965" s="39"/>
      <c r="C965" s="32"/>
      <c r="D965" s="32"/>
      <c r="G965" s="32"/>
      <c r="H965" s="32"/>
    </row>
    <row r="966" spans="1:8" x14ac:dyDescent="0.3">
      <c r="A966" s="31"/>
      <c r="B966" s="39"/>
      <c r="C966" s="32"/>
      <c r="D966" s="32"/>
      <c r="G966" s="32"/>
      <c r="H966" s="32"/>
    </row>
    <row r="967" spans="1:8" x14ac:dyDescent="0.3">
      <c r="A967" s="31"/>
      <c r="B967" s="39"/>
      <c r="C967" s="32"/>
      <c r="D967" s="32"/>
      <c r="G967" s="32"/>
      <c r="H967" s="32"/>
    </row>
    <row r="968" spans="1:8" x14ac:dyDescent="0.3">
      <c r="A968" s="31"/>
      <c r="B968" s="39"/>
      <c r="C968" s="32"/>
      <c r="D968" s="32"/>
      <c r="G968" s="32"/>
      <c r="H968" s="32"/>
    </row>
    <row r="969" spans="1:8" x14ac:dyDescent="0.3">
      <c r="A969" s="31"/>
      <c r="B969" s="39"/>
      <c r="C969" s="32"/>
      <c r="D969" s="32"/>
      <c r="G969" s="32"/>
      <c r="H969" s="32"/>
    </row>
    <row r="970" spans="1:8" x14ac:dyDescent="0.3">
      <c r="A970" s="31"/>
      <c r="B970" s="39"/>
      <c r="C970" s="32"/>
      <c r="D970" s="32"/>
      <c r="G970" s="32"/>
      <c r="H970" s="32"/>
    </row>
    <row r="971" spans="1:8" x14ac:dyDescent="0.3">
      <c r="A971" s="31"/>
      <c r="B971" s="39"/>
      <c r="C971" s="32"/>
      <c r="D971" s="32"/>
      <c r="G971" s="32"/>
      <c r="H971" s="32"/>
    </row>
    <row r="972" spans="1:8" x14ac:dyDescent="0.3">
      <c r="A972" s="31"/>
      <c r="B972" s="39"/>
      <c r="C972" s="32"/>
      <c r="D972" s="32"/>
      <c r="G972" s="32"/>
      <c r="H972" s="32"/>
    </row>
    <row r="973" spans="1:8" x14ac:dyDescent="0.3">
      <c r="A973" s="31"/>
      <c r="B973" s="39"/>
      <c r="C973" s="32"/>
      <c r="D973" s="32"/>
      <c r="G973" s="32"/>
      <c r="H973" s="32"/>
    </row>
    <row r="974" spans="1:8" x14ac:dyDescent="0.3">
      <c r="A974" s="31"/>
      <c r="B974" s="39"/>
      <c r="C974" s="32"/>
      <c r="D974" s="32"/>
      <c r="G974" s="32"/>
      <c r="H974" s="32"/>
    </row>
    <row r="975" spans="1:8" x14ac:dyDescent="0.3">
      <c r="A975" s="31"/>
      <c r="B975" s="39"/>
      <c r="C975" s="32"/>
      <c r="D975" s="32"/>
      <c r="G975" s="32"/>
      <c r="H975" s="32"/>
    </row>
    <row r="976" spans="1:8" x14ac:dyDescent="0.3">
      <c r="A976" s="31"/>
      <c r="B976" s="39"/>
      <c r="C976" s="32"/>
      <c r="D976" s="32"/>
      <c r="G976" s="32"/>
      <c r="H976" s="32"/>
    </row>
    <row r="977" spans="1:8" x14ac:dyDescent="0.3">
      <c r="A977" s="31"/>
      <c r="B977" s="39"/>
      <c r="C977" s="32"/>
      <c r="D977" s="32"/>
      <c r="G977" s="32"/>
      <c r="H977" s="32"/>
    </row>
    <row r="978" spans="1:8" x14ac:dyDescent="0.3">
      <c r="A978" s="31"/>
      <c r="B978" s="39"/>
      <c r="C978" s="32"/>
      <c r="D978" s="32"/>
      <c r="G978" s="32"/>
      <c r="H978" s="32"/>
    </row>
    <row r="979" spans="1:8" x14ac:dyDescent="0.3">
      <c r="A979" s="31"/>
      <c r="B979" s="39"/>
      <c r="C979" s="32"/>
      <c r="D979" s="32"/>
      <c r="G979" s="32"/>
      <c r="H979" s="32"/>
    </row>
    <row r="980" spans="1:8" x14ac:dyDescent="0.3">
      <c r="A980" s="31"/>
      <c r="B980" s="39"/>
      <c r="C980" s="32"/>
      <c r="D980" s="32"/>
      <c r="G980" s="32"/>
      <c r="H980" s="32"/>
    </row>
    <row r="981" spans="1:8" x14ac:dyDescent="0.3">
      <c r="A981" s="31"/>
      <c r="B981" s="39"/>
      <c r="C981" s="32"/>
      <c r="D981" s="32"/>
      <c r="G981" s="32"/>
      <c r="H981" s="32"/>
    </row>
    <row r="982" spans="1:8" x14ac:dyDescent="0.3">
      <c r="A982" s="31"/>
      <c r="B982" s="39"/>
      <c r="C982" s="32"/>
      <c r="D982" s="32"/>
      <c r="G982" s="32"/>
      <c r="H982" s="32"/>
    </row>
    <row r="983" spans="1:8" x14ac:dyDescent="0.3">
      <c r="A983" s="31"/>
      <c r="B983" s="39"/>
      <c r="C983" s="32"/>
      <c r="D983" s="32"/>
      <c r="G983" s="32"/>
      <c r="H983" s="32"/>
    </row>
    <row r="984" spans="1:8" x14ac:dyDescent="0.3">
      <c r="A984" s="31"/>
      <c r="B984" s="39"/>
      <c r="C984" s="32"/>
      <c r="D984" s="32"/>
      <c r="G984" s="32"/>
      <c r="H984" s="32"/>
    </row>
    <row r="985" spans="1:8" x14ac:dyDescent="0.3">
      <c r="A985" s="31"/>
      <c r="B985" s="39"/>
      <c r="C985" s="32"/>
      <c r="D985" s="32"/>
      <c r="G985" s="32"/>
      <c r="H985" s="32"/>
    </row>
    <row r="986" spans="1:8" x14ac:dyDescent="0.3">
      <c r="A986" s="31"/>
      <c r="B986" s="39"/>
      <c r="C986" s="32"/>
      <c r="D986" s="32"/>
      <c r="G986" s="32"/>
      <c r="H986" s="32"/>
    </row>
    <row r="987" spans="1:8" x14ac:dyDescent="0.3">
      <c r="A987" s="31"/>
      <c r="B987" s="39"/>
      <c r="C987" s="32"/>
      <c r="D987" s="32"/>
      <c r="G987" s="32"/>
      <c r="H987" s="32"/>
    </row>
    <row r="988" spans="1:8" x14ac:dyDescent="0.3">
      <c r="A988" s="31"/>
      <c r="B988" s="39"/>
      <c r="C988" s="32"/>
      <c r="D988" s="32"/>
      <c r="G988" s="32"/>
      <c r="H988" s="32"/>
    </row>
    <row r="989" spans="1:8" x14ac:dyDescent="0.3">
      <c r="A989" s="31"/>
      <c r="B989" s="39"/>
      <c r="C989" s="32"/>
      <c r="D989" s="32"/>
      <c r="G989" s="32"/>
      <c r="H989" s="32"/>
    </row>
    <row r="990" spans="1:8" x14ac:dyDescent="0.3">
      <c r="A990" s="31"/>
      <c r="B990" s="39"/>
      <c r="C990" s="32"/>
      <c r="D990" s="32"/>
      <c r="G990" s="32"/>
      <c r="H990" s="32"/>
    </row>
    <row r="991" spans="1:8" x14ac:dyDescent="0.3">
      <c r="A991" s="31"/>
      <c r="B991" s="39"/>
      <c r="C991" s="32"/>
      <c r="D991" s="32"/>
      <c r="G991" s="32"/>
      <c r="H991" s="32"/>
    </row>
    <row r="992" spans="1:8" x14ac:dyDescent="0.3">
      <c r="A992" s="31"/>
      <c r="B992" s="39"/>
      <c r="C992" s="32"/>
      <c r="D992" s="32"/>
      <c r="G992" s="32"/>
      <c r="H992" s="32"/>
    </row>
    <row r="993" spans="1:8" x14ac:dyDescent="0.3">
      <c r="A993" s="31"/>
      <c r="B993" s="39"/>
      <c r="C993" s="32"/>
      <c r="D993" s="32"/>
      <c r="G993" s="32"/>
      <c r="H993" s="32"/>
    </row>
    <row r="994" spans="1:8" x14ac:dyDescent="0.3">
      <c r="A994" s="31"/>
      <c r="B994" s="39"/>
      <c r="C994" s="32"/>
      <c r="D994" s="32"/>
      <c r="G994" s="32"/>
      <c r="H994" s="32"/>
    </row>
    <row r="995" spans="1:8" x14ac:dyDescent="0.3">
      <c r="A995" s="31"/>
      <c r="B995" s="39"/>
      <c r="C995" s="32"/>
      <c r="D995" s="32"/>
      <c r="G995" s="32"/>
      <c r="H995" s="32"/>
    </row>
    <row r="996" spans="1:8" x14ac:dyDescent="0.3">
      <c r="A996" s="31"/>
      <c r="B996" s="39"/>
      <c r="C996" s="32"/>
      <c r="D996" s="32"/>
      <c r="G996" s="32"/>
      <c r="H996" s="32"/>
    </row>
    <row r="997" spans="1:8" x14ac:dyDescent="0.3">
      <c r="A997" s="31"/>
      <c r="B997" s="39"/>
      <c r="C997" s="32"/>
      <c r="D997" s="32"/>
      <c r="G997" s="32"/>
      <c r="H997" s="32"/>
    </row>
  </sheetData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3"/>
  <dimension ref="A1:A7"/>
  <sheetViews>
    <sheetView workbookViewId="0">
      <selection activeCell="A8" sqref="A8"/>
    </sheetView>
  </sheetViews>
  <sheetFormatPr defaultRowHeight="14.4" x14ac:dyDescent="0.3"/>
  <cols>
    <col min="1" max="1" width="14.33203125" bestFit="1" customWidth="1"/>
  </cols>
  <sheetData>
    <row r="1" spans="1:1" x14ac:dyDescent="0.3">
      <c r="A1" s="1" t="s">
        <v>12</v>
      </c>
    </row>
    <row r="2" spans="1:1" x14ac:dyDescent="0.3">
      <c r="A2" t="s">
        <v>242</v>
      </c>
    </row>
    <row r="3" spans="1:1" x14ac:dyDescent="0.3">
      <c r="A3" t="s">
        <v>243</v>
      </c>
    </row>
    <row r="4" spans="1:1" x14ac:dyDescent="0.3">
      <c r="A4" t="s">
        <v>244</v>
      </c>
    </row>
    <row r="5" spans="1:1" x14ac:dyDescent="0.3">
      <c r="A5" t="s">
        <v>245</v>
      </c>
    </row>
    <row r="6" spans="1:1" x14ac:dyDescent="0.3">
      <c r="A6" t="s">
        <v>246</v>
      </c>
    </row>
    <row r="7" spans="1:1" x14ac:dyDescent="0.3">
      <c r="A7" t="s">
        <v>361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11</vt:i4>
      </vt:variant>
      <vt:variant>
        <vt:lpstr>Gráficos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Exibir_Formulario</vt:lpstr>
      <vt:lpstr>usuarios</vt:lpstr>
      <vt:lpstr>Controle_de_Produtos</vt:lpstr>
      <vt:lpstr>Compras</vt:lpstr>
      <vt:lpstr>Vendas</vt:lpstr>
      <vt:lpstr>caixa_vendas</vt:lpstr>
      <vt:lpstr>Estoque</vt:lpstr>
      <vt:lpstr>caixa_estoque</vt:lpstr>
      <vt:lpstr>relatorio</vt:lpstr>
      <vt:lpstr>relatorio_impressao</vt:lpstr>
      <vt:lpstr>loja</vt:lpstr>
      <vt:lpstr>Gráf1</vt:lpstr>
      <vt:lpstr>Gráfico1</vt:lpstr>
      <vt:lpstr>relatorio!Area_de_extracao</vt:lpstr>
      <vt:lpstr>relatorio!Criterios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Milhomem</dc:creator>
  <cp:lastModifiedBy>vinicius</cp:lastModifiedBy>
  <cp:lastPrinted>2021-08-24T04:18:44Z</cp:lastPrinted>
  <dcterms:created xsi:type="dcterms:W3CDTF">2021-04-01T16:33:57Z</dcterms:created>
  <dcterms:modified xsi:type="dcterms:W3CDTF">2021-08-24T04:18:46Z</dcterms:modified>
</cp:coreProperties>
</file>